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ersonal Projects\Mercury_RevA\Documentation\"/>
    </mc:Choice>
  </mc:AlternateContent>
  <bookViews>
    <workbookView xWindow="0" yWindow="0" windowWidth="25710" windowHeight="10830" activeTab="1"/>
  </bookViews>
  <sheets>
    <sheet name="HDC2010" sheetId="12" r:id="rId1"/>
    <sheet name="LPS22HB" sheetId="13" r:id="rId2"/>
  </sheets>
  <definedNames>
    <definedName name="kilo">1000</definedName>
    <definedName name="mega">1000000</definedName>
    <definedName name="micro">0.000001</definedName>
    <definedName name="milli">0.001</definedName>
    <definedName name="nano">0.000000001</definedName>
    <definedName name="Rsense1" localSheetId="1">#REF!</definedName>
    <definedName name="Rsense1">#REF!</definedName>
    <definedName name="Rsense2" localSheetId="1">#REF!</definedName>
    <definedName name="Rsense2">#REF!</definedName>
    <definedName name="VLED1" localSheetId="1">#REF!</definedName>
    <definedName name="VLED1">#REF!</definedName>
    <definedName name="VLED2" localSheetId="1">#REF!</definedName>
    <definedName name="VLED2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6" i="13" l="1"/>
  <c r="J28" i="13"/>
  <c r="I28" i="13"/>
  <c r="H28" i="13"/>
  <c r="G28" i="13"/>
  <c r="F28" i="13"/>
  <c r="E28" i="13"/>
  <c r="D28" i="13"/>
  <c r="I96" i="13"/>
  <c r="H96" i="13"/>
  <c r="G96" i="13"/>
  <c r="F96" i="13"/>
  <c r="E96" i="13"/>
  <c r="D96" i="13"/>
  <c r="C96" i="13"/>
  <c r="B96" i="13"/>
  <c r="H24" i="13"/>
  <c r="K24" i="13"/>
  <c r="I24" i="13"/>
  <c r="G24" i="13"/>
  <c r="F24" i="13"/>
  <c r="E24" i="13"/>
  <c r="D24" i="13"/>
  <c r="K93" i="13"/>
  <c r="I93" i="13"/>
  <c r="H93" i="13"/>
  <c r="G93" i="13"/>
  <c r="F93" i="13"/>
  <c r="E93" i="13"/>
  <c r="D93" i="13"/>
  <c r="C93" i="13"/>
  <c r="B93" i="13"/>
  <c r="M8" i="13"/>
  <c r="K20" i="13"/>
  <c r="I20" i="13"/>
  <c r="I86" i="13"/>
  <c r="I85" i="13"/>
  <c r="E20" i="13"/>
  <c r="J20" i="13"/>
  <c r="H20" i="13"/>
  <c r="K84" i="13"/>
  <c r="J84" i="13"/>
  <c r="I84" i="13"/>
  <c r="H84" i="13"/>
  <c r="E84" i="13"/>
  <c r="B84" i="13"/>
  <c r="D14" i="13"/>
  <c r="H10" i="13" s="1"/>
  <c r="D11" i="13"/>
  <c r="P10" i="13"/>
  <c r="C81" i="13"/>
  <c r="K81" i="13"/>
  <c r="J81" i="13"/>
  <c r="I81" i="13"/>
  <c r="H81" i="13"/>
  <c r="G81" i="13"/>
  <c r="F81" i="13"/>
  <c r="E81" i="13"/>
  <c r="D81" i="13"/>
  <c r="K7" i="13"/>
  <c r="J7" i="13"/>
  <c r="I7" i="13"/>
  <c r="H7" i="13"/>
  <c r="G7" i="13"/>
  <c r="F7" i="13"/>
  <c r="E7" i="13"/>
  <c r="D7" i="13"/>
  <c r="B81" i="13"/>
  <c r="M25" i="13" l="1"/>
  <c r="M21" i="13"/>
  <c r="M17" i="13"/>
  <c r="M12" i="13"/>
  <c r="M4" i="13"/>
  <c r="M28" i="12"/>
  <c r="M34" i="12"/>
  <c r="M37" i="12"/>
  <c r="I45" i="12"/>
  <c r="F45" i="12"/>
  <c r="D45" i="12"/>
  <c r="K45" i="12"/>
  <c r="K79" i="12"/>
  <c r="I79" i="12"/>
  <c r="F79" i="12"/>
  <c r="H79" i="12"/>
  <c r="D79" i="12"/>
  <c r="B79" i="12"/>
  <c r="J42" i="12"/>
  <c r="K42" i="12"/>
  <c r="I42" i="12"/>
  <c r="H42" i="12"/>
  <c r="E42" i="12"/>
  <c r="D42" i="12"/>
  <c r="K68" i="12"/>
  <c r="J68" i="12"/>
  <c r="I68" i="12"/>
  <c r="H68" i="12"/>
  <c r="E68" i="12"/>
  <c r="D68" i="12"/>
  <c r="B68" i="12"/>
  <c r="D16" i="12"/>
  <c r="D18" i="12"/>
  <c r="D30" i="12"/>
  <c r="D39" i="12"/>
  <c r="H38" i="12" s="1"/>
  <c r="D36" i="12"/>
  <c r="H35" i="12" s="1"/>
  <c r="D33" i="12"/>
  <c r="H32" i="12" s="1"/>
  <c r="H29" i="12"/>
  <c r="D64" i="12"/>
  <c r="D66" i="12" s="1"/>
  <c r="B63" i="12"/>
  <c r="B58" i="12"/>
  <c r="B53" i="12"/>
  <c r="D59" i="12"/>
  <c r="D60" i="12" s="1"/>
  <c r="E59" i="12" s="1"/>
  <c r="E60" i="12" s="1"/>
  <c r="H53" i="12"/>
  <c r="G53" i="12"/>
  <c r="F53" i="12"/>
  <c r="E53" i="12"/>
  <c r="D53" i="12"/>
  <c r="C54" i="12"/>
  <c r="H54" i="12" s="1"/>
  <c r="H21" i="12" s="1"/>
  <c r="B54" i="12"/>
  <c r="B48" i="12"/>
  <c r="H48" i="12"/>
  <c r="G48" i="12"/>
  <c r="F48" i="12"/>
  <c r="E48" i="12"/>
  <c r="D48" i="12"/>
  <c r="C49" i="12"/>
  <c r="H49" i="12" s="1"/>
  <c r="H14" i="12" s="1"/>
  <c r="B49" i="12"/>
  <c r="D11" i="12"/>
  <c r="D9" i="12"/>
  <c r="D7" i="12"/>
  <c r="D5" i="12"/>
  <c r="M43" i="12" l="1"/>
  <c r="M40" i="12"/>
  <c r="M31" i="12"/>
  <c r="D65" i="12"/>
  <c r="E64" i="12" s="1"/>
  <c r="D61" i="12"/>
  <c r="E61" i="12"/>
  <c r="F59" i="12"/>
  <c r="D54" i="12"/>
  <c r="D21" i="12" s="1"/>
  <c r="E54" i="12"/>
  <c r="E21" i="12" s="1"/>
  <c r="F54" i="12"/>
  <c r="F21" i="12" s="1"/>
  <c r="G54" i="12"/>
  <c r="G21" i="12" s="1"/>
  <c r="E49" i="12"/>
  <c r="E14" i="12" s="1"/>
  <c r="F49" i="12"/>
  <c r="F14" i="12" s="1"/>
  <c r="G49" i="12"/>
  <c r="G14" i="12" s="1"/>
  <c r="D49" i="12"/>
  <c r="D14" i="12" s="1"/>
  <c r="E65" i="12" l="1"/>
  <c r="E66" i="12"/>
  <c r="F60" i="12"/>
  <c r="G59" i="12" s="1"/>
  <c r="F61" i="12"/>
  <c r="F64" i="12" l="1"/>
  <c r="F65" i="12" s="1"/>
  <c r="G64" i="12" s="1"/>
  <c r="G60" i="12"/>
  <c r="G61" i="12"/>
  <c r="F66" i="12" l="1"/>
  <c r="H59" i="12"/>
  <c r="H60" i="12" s="1"/>
  <c r="I59" i="12" s="1"/>
  <c r="G66" i="12" l="1"/>
  <c r="G65" i="12"/>
  <c r="H64" i="12" s="1"/>
  <c r="I60" i="12"/>
  <c r="J59" i="12" s="1"/>
  <c r="I61" i="12"/>
  <c r="H61" i="12"/>
  <c r="J60" i="12" l="1"/>
  <c r="K59" i="12" s="1"/>
  <c r="J61" i="12"/>
  <c r="H66" i="12" l="1"/>
  <c r="H65" i="12"/>
  <c r="I64" i="12" s="1"/>
  <c r="K60" i="12"/>
  <c r="K61" i="12"/>
  <c r="C61" i="12" s="1"/>
  <c r="H23" i="12" s="1"/>
  <c r="C59" i="12"/>
  <c r="D24" i="12" s="1"/>
  <c r="M22" i="12" s="1"/>
  <c r="I66" i="12" l="1"/>
  <c r="I65" i="12"/>
  <c r="J64" i="12" s="1"/>
  <c r="J66" i="12" l="1"/>
  <c r="J65" i="12"/>
  <c r="K64" i="12" s="1"/>
  <c r="C64" i="12" l="1"/>
  <c r="D27" i="12" s="1"/>
  <c r="M25" i="12" s="1"/>
  <c r="K66" i="12"/>
  <c r="C66" i="12" s="1"/>
  <c r="H26" i="12" s="1"/>
  <c r="K65" i="12"/>
</calcChain>
</file>

<file path=xl/sharedStrings.xml><?xml version="1.0" encoding="utf-8"?>
<sst xmlns="http://schemas.openxmlformats.org/spreadsheetml/2006/main" count="280" uniqueCount="216">
  <si>
    <t>Register</t>
  </si>
  <si>
    <t>Data</t>
  </si>
  <si>
    <t>[7]</t>
  </si>
  <si>
    <t>[6]</t>
  </si>
  <si>
    <t>[5]</t>
  </si>
  <si>
    <t>[4]</t>
  </si>
  <si>
    <t>[3]</t>
  </si>
  <si>
    <t>[2]</t>
  </si>
  <si>
    <t>[1]</t>
  </si>
  <si>
    <t>[0]</t>
  </si>
  <si>
    <t>00</t>
  </si>
  <si>
    <t>RESERVED</t>
  </si>
  <si>
    <t>-</t>
  </si>
  <si>
    <t>000</t>
  </si>
  <si>
    <t>Disabled</t>
  </si>
  <si>
    <t>Enable</t>
  </si>
  <si>
    <t>Temperature [7:0]</t>
  </si>
  <si>
    <t>Temperature [15:8]</t>
  </si>
  <si>
    <t>FF</t>
  </si>
  <si>
    <t>Humidity [7:0]</t>
  </si>
  <si>
    <t>Humidity [15:8]</t>
  </si>
  <si>
    <t>C0</t>
  </si>
  <si>
    <t>Interrupt/Data Ready</t>
  </si>
  <si>
    <t>Temperature Low</t>
  </si>
  <si>
    <t>Temperature High</t>
  </si>
  <si>
    <t>Humidity Low</t>
  </si>
  <si>
    <t>Humidity High</t>
  </si>
  <si>
    <t>Read Value</t>
  </si>
  <si>
    <t>65</t>
  </si>
  <si>
    <t>Data Ready</t>
  </si>
  <si>
    <t>Humidity High Flag</t>
  </si>
  <si>
    <t>Humidity Low Flag</t>
  </si>
  <si>
    <t>Temp High Flag</t>
  </si>
  <si>
    <t>Temp Low Flag</t>
  </si>
  <si>
    <t>DRDY_STATUS</t>
  </si>
  <si>
    <t>HH_STATUS</t>
  </si>
  <si>
    <t>HL_STATUS</t>
  </si>
  <si>
    <t>TH_STATUS</t>
  </si>
  <si>
    <t>TL_STATUS</t>
  </si>
  <si>
    <t>Binary Value</t>
  </si>
  <si>
    <t>Value if 0</t>
  </si>
  <si>
    <t>Value if 1</t>
  </si>
  <si>
    <t>Data not ready</t>
  </si>
  <si>
    <t>Data is ready</t>
  </si>
  <si>
    <t>No Interrupt</t>
  </si>
  <si>
    <t>Interrupt</t>
  </si>
  <si>
    <t>Temperature Max</t>
  </si>
  <si>
    <t>Humidity Max</t>
  </si>
  <si>
    <t>Interrupt Configuration</t>
  </si>
  <si>
    <t>Data Ready Mask</t>
  </si>
  <si>
    <t>DRDY_MASK</t>
  </si>
  <si>
    <t>HH_MASK</t>
  </si>
  <si>
    <t>HL_MASK</t>
  </si>
  <si>
    <t>TH_MASK</t>
  </si>
  <si>
    <t>TL_MASK</t>
  </si>
  <si>
    <t>Humidity High Mask</t>
  </si>
  <si>
    <t>Humidity Low Mask</t>
  </si>
  <si>
    <t>Temp High Mask</t>
  </si>
  <si>
    <t>Temp Low Mask</t>
  </si>
  <si>
    <t>Enabled</t>
  </si>
  <si>
    <t>78</t>
  </si>
  <si>
    <t>Temperature Offset</t>
  </si>
  <si>
    <t>Temperature Offset  (-20.62-20.46°C)</t>
  </si>
  <si>
    <t>Value</t>
  </si>
  <si>
    <t>Incremental result</t>
  </si>
  <si>
    <t>Actual Offset</t>
  </si>
  <si>
    <t>Humidity Offset</t>
  </si>
  <si>
    <t>Temperature Threshold High</t>
  </si>
  <si>
    <t>Temperature Threshold Low</t>
  </si>
  <si>
    <t>Humidity Threshold High</t>
  </si>
  <si>
    <t>Humidity Threshold Low</t>
  </si>
  <si>
    <t>Max Temperature Since Restart  (-40-124.5°C)</t>
  </si>
  <si>
    <t>Max Humidity Since Restart (0-99.75%)</t>
  </si>
  <si>
    <t>Temperature Threshold - Low  (-40-124.5°C)</t>
  </si>
  <si>
    <t>Temperature Threshold - High  (-40-124.5°C)</t>
  </si>
  <si>
    <t>Humidity Threshold - High (0-99.75%)</t>
  </si>
  <si>
    <t>Humidity Threshold - Low (0-99.75%)</t>
  </si>
  <si>
    <t>D0</t>
  </si>
  <si>
    <t>Reset and DRDY/INT Configuration</t>
  </si>
  <si>
    <t>Soft Reset</t>
  </si>
  <si>
    <t>Data Rate</t>
  </si>
  <si>
    <t>Heater</t>
  </si>
  <si>
    <t>1/60 Hz</t>
  </si>
  <si>
    <t>1/120 Hz</t>
  </si>
  <si>
    <t>On Demand</t>
  </si>
  <si>
    <t>0.1 Hz</t>
  </si>
  <si>
    <t>0.2 Hz</t>
  </si>
  <si>
    <t>1 Hz</t>
  </si>
  <si>
    <t>2 Hz</t>
  </si>
  <si>
    <t>5 Hz</t>
  </si>
  <si>
    <t>Interrupt Polarity</t>
  </si>
  <si>
    <t>Interrupt Mode</t>
  </si>
  <si>
    <t>High Z</t>
  </si>
  <si>
    <t>Level Sensitive</t>
  </si>
  <si>
    <t>Comparator</t>
  </si>
  <si>
    <t>Start Measurement</t>
  </si>
  <si>
    <t>Temperature Resolution</t>
  </si>
  <si>
    <t>Humidity Resolution</t>
  </si>
  <si>
    <t>Measurement Configuration</t>
  </si>
  <si>
    <t>14 bit</t>
  </si>
  <si>
    <t>11 bit</t>
  </si>
  <si>
    <t>9 bit</t>
  </si>
  <si>
    <t>Temperature</t>
  </si>
  <si>
    <t>Humidity</t>
  </si>
  <si>
    <t>Humidity &amp; Temperature</t>
  </si>
  <si>
    <t>14-bit</t>
  </si>
  <si>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</si>
  <si>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</si>
  <si>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</si>
  <si>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</si>
  <si>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</si>
  <si>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</si>
  <si>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</si>
  <si>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</si>
  <si>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</si>
  <si>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</si>
  <si>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0x0A</t>
  </si>
  <si>
    <t>0x0B</t>
  </si>
  <si>
    <t>0x0C</t>
  </si>
  <si>
    <t>0x0D</t>
  </si>
  <si>
    <t>0x0E</t>
  </si>
  <si>
    <t>0x0F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</si>
  <si>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</si>
  <si>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</si>
  <si>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</si>
  <si>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</si>
  <si>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</si>
  <si>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</si>
  <si>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</si>
  <si>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</si>
  <si>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</si>
  <si>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</si>
  <si>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0x1A</t>
  </si>
  <si>
    <t>0x25</t>
  </si>
  <si>
    <t>0x26</t>
  </si>
  <si>
    <t>0x27</t>
  </si>
  <si>
    <t>0x28</t>
  </si>
  <si>
    <t>0x29</t>
  </si>
  <si>
    <t>0x2A</t>
  </si>
  <si>
    <t>0x2B</t>
  </si>
  <si>
    <t>0x2C</t>
  </si>
  <si>
    <t>0x33</t>
  </si>
  <si>
    <t>AutoRifP</t>
  </si>
  <si>
    <t>Auto Zero</t>
  </si>
  <si>
    <t>Interrupt Generation</t>
  </si>
  <si>
    <t>Latch Interrpt</t>
  </si>
  <si>
    <t>Pressure Level Interrupts</t>
  </si>
  <si>
    <t>AUTORIFP</t>
  </si>
  <si>
    <t>RESET_ARP</t>
  </si>
  <si>
    <t>AUTOZERO</t>
  </si>
  <si>
    <t>RESET_AZ</t>
  </si>
  <si>
    <t>DIFF_EN</t>
  </si>
  <si>
    <t>LIR</t>
  </si>
  <si>
    <t>PLE</t>
  </si>
  <si>
    <t>PHE</t>
  </si>
  <si>
    <t>Humidity Offset  (-25%-25%)</t>
  </si>
  <si>
    <t>Pressure Interrupt Level - LSB</t>
  </si>
  <si>
    <t>Pressure Interrupt Level - MSB</t>
  </si>
  <si>
    <t>Pressure Interrupt Threshold - LSB</t>
  </si>
  <si>
    <t>Pressure Interrupt Threshold - MSB</t>
  </si>
  <si>
    <t>THS_P_L</t>
  </si>
  <si>
    <t>THS_P_H</t>
  </si>
  <si>
    <t>Device Identifier</t>
  </si>
  <si>
    <t>WHO_AM_I</t>
  </si>
  <si>
    <t>0xB1</t>
  </si>
  <si>
    <t>Output Data Rate</t>
  </si>
  <si>
    <t>ODR[2:0]</t>
  </si>
  <si>
    <t>EN_LPFP</t>
  </si>
  <si>
    <t>LPFP_CFG</t>
  </si>
  <si>
    <t>BDU</t>
  </si>
  <si>
    <t>SIM</t>
  </si>
  <si>
    <t>Low Pass Filter</t>
  </si>
  <si>
    <t>Low Pass Configuration</t>
  </si>
  <si>
    <t>Block Data Update</t>
  </si>
  <si>
    <t>SPI Mode</t>
  </si>
  <si>
    <t>Control Register 1</t>
  </si>
  <si>
    <t>One Shot</t>
  </si>
  <si>
    <t>4-Wire</t>
  </si>
  <si>
    <t>3-Wire</t>
  </si>
  <si>
    <t>BOOT</t>
  </si>
  <si>
    <t>FIFO_EN</t>
  </si>
  <si>
    <t>STOP_ON_FTH</t>
  </si>
  <si>
    <t>IF_ADC_INC</t>
  </si>
  <si>
    <t>I2C_DIS</t>
  </si>
  <si>
    <t>SWRESET</t>
  </si>
  <si>
    <t>ONE_SHOT</t>
  </si>
  <si>
    <t>Reboot Memory</t>
  </si>
  <si>
    <t>FIFO Enable</t>
  </si>
  <si>
    <t>Stop on FIFO Watermark</t>
  </si>
  <si>
    <t>Increment Address</t>
  </si>
  <si>
    <r>
      <t>I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 Enable</t>
    </r>
  </si>
  <si>
    <t>Software Reset</t>
  </si>
  <si>
    <t>One Shot Acquisition</t>
  </si>
  <si>
    <t>Control Register 2</t>
  </si>
  <si>
    <t>Control Register 3</t>
  </si>
  <si>
    <t>INT_H_L</t>
  </si>
  <si>
    <t>PP_OD</t>
  </si>
  <si>
    <t>F_FSS5</t>
  </si>
  <si>
    <t>F_FTH</t>
  </si>
  <si>
    <t>F_OVR</t>
  </si>
  <si>
    <t>DRDY</t>
  </si>
  <si>
    <t>INT_S[2:1]</t>
  </si>
  <si>
    <t>Interrupt Output</t>
  </si>
  <si>
    <t>FIFO Full</t>
  </si>
  <si>
    <t>FIFO Watermark</t>
  </si>
  <si>
    <t>FIFO Overun</t>
  </si>
  <si>
    <t>Data-Ready</t>
  </si>
  <si>
    <t>Active High</t>
  </si>
  <si>
    <t>Active Low</t>
  </si>
  <si>
    <t>Push-Pull</t>
  </si>
  <si>
    <t>Open Drain</t>
  </si>
  <si>
    <t>Pressure High</t>
  </si>
  <si>
    <t>Pressure Low</t>
  </si>
  <si>
    <t>Pressure Low or High</t>
  </si>
  <si>
    <t>Interrupt Signal</t>
  </si>
  <si>
    <t>FIFO or Data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</si>
</sst>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"/>
    <numFmt numFmtId="165" formatCode="0.00&quot;°C&quot;"/>
    <numFmt numFmtId="166" formatCode="0.0##&quot;°C&quot;"/>
    <numFmt numFmtId="167" formatCode="0.0%"/>
    <numFmt numFmtId="168" formatCode="0.0#&quot;°C&quot;"/>
    <numFmt numFmtId="173" formatCode="0.0#&quot; hPa&quot;"/>
    <numFmt numFmtId="174" formatCode="0&quot; Hz&quot;"/>
    <numFmt numFmtId="175" formatCode="0.0#&quot; Hz&quot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vertAlign val="superscript"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thin">
        <color auto="1"/>
      </bottom>
      <diagonal/>
    </border>
    <border>
      <left style="medium">
        <color theme="4"/>
      </left>
      <right style="medium">
        <color theme="4"/>
      </right>
      <top style="thin">
        <color auto="1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thin">
        <color auto="1"/>
      </top>
      <bottom style="thin">
        <color auto="1"/>
      </bottom>
      <diagonal/>
    </border>
    <border>
      <left style="medium">
        <color theme="4"/>
      </left>
      <right style="medium">
        <color theme="4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theme="4"/>
      </left>
      <right/>
      <top/>
      <bottom/>
      <diagonal/>
    </border>
  </borders>
  <cellStyleXfs count="1">
    <xf numFmtId="0" fontId="0" fillId="0" borderId="0"/>
  </cellStyleXfs>
  <cellXfs count="293">
    <xf numFmtId="0" fontId="0" fillId="0" borderId="0" xfId="0"/>
    <xf numFmtId="49" fontId="0" fillId="0" borderId="0" xfId="0" applyNumberFormat="1" applyBorder="1" applyAlignment="1">
      <alignment horizontal="center" vertical="center" wrapText="1"/>
    </xf>
    <xf numFmtId="0" fontId="0" fillId="0" borderId="0" xfId="0" applyBorder="1"/>
    <xf numFmtId="0" fontId="0" fillId="0" borderId="11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9" xfId="0" applyBorder="1"/>
    <xf numFmtId="0" fontId="0" fillId="0" borderId="15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0" borderId="13" xfId="0" applyBorder="1"/>
    <xf numFmtId="49" fontId="0" fillId="0" borderId="9" xfId="0" applyNumberFormat="1" applyBorder="1"/>
    <xf numFmtId="0" fontId="0" fillId="0" borderId="0" xfId="0" applyBorder="1" applyAlignment="1">
      <alignment horizontal="center"/>
    </xf>
    <xf numFmtId="0" fontId="0" fillId="0" borderId="0" xfId="0" applyNumberFormat="1" applyBorder="1"/>
    <xf numFmtId="0" fontId="0" fillId="0" borderId="15" xfId="0" applyNumberFormat="1" applyBorder="1"/>
    <xf numFmtId="0" fontId="0" fillId="0" borderId="0" xfId="0" applyNumberFormat="1"/>
    <xf numFmtId="0" fontId="0" fillId="0" borderId="11" xfId="0" applyNumberFormat="1" applyBorder="1"/>
    <xf numFmtId="0" fontId="0" fillId="0" borderId="16" xfId="0" applyNumberFormat="1" applyBorder="1"/>
    <xf numFmtId="0" fontId="0" fillId="0" borderId="13" xfId="0" applyNumberFormat="1" applyBorder="1"/>
    <xf numFmtId="0" fontId="1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Border="1" applyAlignment="1">
      <alignment horizontal="center" vertical="center"/>
    </xf>
    <xf numFmtId="0" fontId="1" fillId="4" borderId="31" xfId="0" applyNumberFormat="1" applyFont="1" applyFill="1" applyBorder="1" applyAlignment="1">
      <alignment horizontal="center" vertical="center" shrinkToFit="1"/>
    </xf>
    <xf numFmtId="0" fontId="3" fillId="4" borderId="3" xfId="0" applyFont="1" applyFill="1" applyBorder="1" applyAlignment="1">
      <alignment horizontal="center" vertical="center" shrinkToFit="1"/>
    </xf>
    <xf numFmtId="49" fontId="3" fillId="4" borderId="20" xfId="0" applyNumberFormat="1" applyFont="1" applyFill="1" applyBorder="1" applyAlignment="1">
      <alignment horizontal="center" vertical="center" shrinkToFit="1"/>
    </xf>
    <xf numFmtId="0" fontId="1" fillId="4" borderId="30" xfId="0" applyNumberFormat="1" applyFont="1" applyFill="1" applyBorder="1" applyAlignment="1">
      <alignment horizontal="center" vertical="center" shrinkToFit="1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49" fontId="0" fillId="0" borderId="35" xfId="0" applyNumberFormat="1" applyBorder="1" applyAlignment="1">
      <alignment horizontal="center" vertical="center" wrapText="1"/>
    </xf>
    <xf numFmtId="0" fontId="0" fillId="0" borderId="48" xfId="0" applyBorder="1" applyAlignment="1">
      <alignment horizontal="center"/>
    </xf>
    <xf numFmtId="0" fontId="1" fillId="0" borderId="12" xfId="0" applyNumberFormat="1" applyFont="1" applyBorder="1" applyAlignment="1">
      <alignment horizontal="center"/>
    </xf>
    <xf numFmtId="0" fontId="0" fillId="0" borderId="9" xfId="0" applyBorder="1" applyAlignment="1">
      <alignment horizontal="center"/>
    </xf>
    <xf numFmtId="49" fontId="1" fillId="0" borderId="13" xfId="0" applyNumberFormat="1" applyFont="1" applyBorder="1" applyAlignment="1">
      <alignment horizontal="center" shrinkToFit="1"/>
    </xf>
    <xf numFmtId="49" fontId="0" fillId="4" borderId="21" xfId="0" applyNumberForma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 shrinkToFit="1"/>
    </xf>
    <xf numFmtId="0" fontId="0" fillId="0" borderId="9" xfId="0" applyBorder="1" applyAlignment="1"/>
    <xf numFmtId="0" fontId="0" fillId="0" borderId="0" xfId="0" applyBorder="1" applyAlignment="1"/>
    <xf numFmtId="168" fontId="0" fillId="0" borderId="11" xfId="0" applyNumberFormat="1" applyBorder="1"/>
    <xf numFmtId="0" fontId="1" fillId="4" borderId="38" xfId="0" applyNumberFormat="1" applyFont="1" applyFill="1" applyBorder="1" applyAlignment="1">
      <alignment horizontal="center" vertical="center" shrinkToFit="1"/>
    </xf>
    <xf numFmtId="0" fontId="1" fillId="0" borderId="13" xfId="0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4" borderId="22" xfId="0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49" fontId="0" fillId="4" borderId="23" xfId="0" applyNumberFormat="1" applyFill="1" applyBorder="1" applyAlignment="1">
      <alignment horizontal="center" vertical="center" shrinkToFit="1"/>
    </xf>
    <xf numFmtId="49" fontId="0" fillId="4" borderId="20" xfId="0" applyNumberFormat="1" applyFill="1" applyBorder="1" applyAlignment="1">
      <alignment vertical="center" shrinkToFit="1"/>
    </xf>
    <xf numFmtId="49" fontId="0" fillId="4" borderId="3" xfId="0" applyNumberFormat="1" applyFill="1" applyBorder="1" applyAlignment="1">
      <alignment vertical="center" shrinkToFit="1"/>
    </xf>
    <xf numFmtId="49" fontId="0" fillId="4" borderId="17" xfId="0" applyNumberFormat="1" applyFill="1" applyBorder="1" applyAlignment="1">
      <alignment vertical="center" shrinkToFit="1"/>
    </xf>
    <xf numFmtId="49" fontId="0" fillId="0" borderId="13" xfId="0" applyNumberFormat="1" applyBorder="1"/>
    <xf numFmtId="49" fontId="0" fillId="0" borderId="14" xfId="0" applyNumberFormat="1" applyBorder="1"/>
    <xf numFmtId="0" fontId="1" fillId="4" borderId="31" xfId="0" applyNumberFormat="1" applyFont="1" applyFill="1" applyBorder="1" applyAlignment="1">
      <alignment horizontal="center" vertical="center" shrinkToFit="1"/>
    </xf>
    <xf numFmtId="0" fontId="1" fillId="4" borderId="49" xfId="0" applyNumberFormat="1" applyFont="1" applyFill="1" applyBorder="1" applyAlignment="1">
      <alignment horizontal="center" vertical="center" shrinkToFit="1"/>
    </xf>
    <xf numFmtId="0" fontId="1" fillId="4" borderId="32" xfId="0" applyNumberFormat="1" applyFont="1" applyFill="1" applyBorder="1" applyAlignment="1">
      <alignment horizontal="center" vertical="center" shrinkToFit="1"/>
    </xf>
    <xf numFmtId="49" fontId="0" fillId="4" borderId="17" xfId="0" applyNumberFormat="1" applyFill="1" applyBorder="1" applyAlignment="1">
      <alignment horizontal="center" vertical="center" shrinkToFit="1"/>
    </xf>
    <xf numFmtId="0" fontId="1" fillId="4" borderId="51" xfId="0" applyNumberFormat="1" applyFont="1" applyFill="1" applyBorder="1" applyAlignment="1">
      <alignment horizontal="center" vertical="center" shrinkToFit="1"/>
    </xf>
    <xf numFmtId="49" fontId="0" fillId="4" borderId="21" xfId="0" applyNumberFormat="1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49" fontId="0" fillId="4" borderId="20" xfId="0" applyNumberFormat="1" applyFill="1" applyBorder="1" applyAlignment="1">
      <alignment horizontal="center" vertical="center" shrinkToFit="1"/>
    </xf>
    <xf numFmtId="49" fontId="0" fillId="4" borderId="3" xfId="0" applyNumberFormat="1" applyFill="1" applyBorder="1" applyAlignment="1">
      <alignment horizontal="center" vertical="center" shrinkToFit="1"/>
    </xf>
    <xf numFmtId="0" fontId="1" fillId="5" borderId="50" xfId="0" applyNumberFormat="1" applyFont="1" applyFill="1" applyBorder="1" applyAlignment="1">
      <alignment horizontal="center" vertical="center" wrapText="1" shrinkToFit="1"/>
    </xf>
    <xf numFmtId="168" fontId="0" fillId="6" borderId="52" xfId="0" applyNumberFormat="1" applyFill="1" applyBorder="1" applyAlignment="1">
      <alignment horizontal="center" vertical="center" shrinkToFit="1"/>
    </xf>
    <xf numFmtId="10" fontId="0" fillId="6" borderId="52" xfId="0" applyNumberFormat="1" applyFill="1" applyBorder="1" applyAlignment="1">
      <alignment horizontal="center" vertical="center" shrinkToFit="1"/>
    </xf>
    <xf numFmtId="166" fontId="0" fillId="6" borderId="52" xfId="0" applyNumberFormat="1" applyFill="1" applyBorder="1" applyAlignment="1">
      <alignment horizontal="center" shrinkToFit="1"/>
    </xf>
    <xf numFmtId="167" fontId="0" fillId="6" borderId="52" xfId="0" applyNumberFormat="1" applyFill="1" applyBorder="1" applyAlignment="1">
      <alignment horizontal="center" shrinkToFit="1"/>
    </xf>
    <xf numFmtId="0" fontId="0" fillId="0" borderId="18" xfId="0" applyBorder="1"/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0" fontId="0" fillId="4" borderId="3" xfId="0" applyFill="1" applyBorder="1" applyAlignment="1">
      <alignment horizontal="center" shrinkToFit="1"/>
    </xf>
    <xf numFmtId="0" fontId="1" fillId="4" borderId="50" xfId="0" applyNumberFormat="1" applyFont="1" applyFill="1" applyBorder="1" applyAlignment="1">
      <alignment horizontal="center" vertical="center" wrapText="1" shrinkToFit="1"/>
    </xf>
    <xf numFmtId="49" fontId="0" fillId="4" borderId="3" xfId="0" applyNumberForma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 wrapText="1" shrinkToFit="1"/>
    </xf>
    <xf numFmtId="0" fontId="1" fillId="4" borderId="47" xfId="0" applyNumberFormat="1" applyFont="1" applyFill="1" applyBorder="1" applyAlignment="1">
      <alignment horizontal="center" vertical="center" shrinkToFit="1"/>
    </xf>
    <xf numFmtId="0" fontId="1" fillId="4" borderId="50" xfId="0" applyNumberFormat="1" applyFont="1" applyFill="1" applyBorder="1" applyAlignment="1">
      <alignment horizontal="center" vertical="center" shrinkToFit="1"/>
    </xf>
    <xf numFmtId="49" fontId="0" fillId="4" borderId="20" xfId="0" applyNumberFormat="1" applyFill="1" applyBorder="1" applyAlignment="1">
      <alignment horizontal="center" vertical="center" shrinkToFit="1"/>
    </xf>
    <xf numFmtId="49" fontId="0" fillId="4" borderId="21" xfId="0" applyNumberFormat="1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0" fontId="1" fillId="5" borderId="22" xfId="0" applyFont="1" applyFill="1" applyBorder="1" applyAlignment="1">
      <alignment horizontal="center" vertical="center" wrapText="1" shrinkToFit="1"/>
    </xf>
    <xf numFmtId="0" fontId="1" fillId="5" borderId="3" xfId="0" applyFont="1" applyFill="1" applyBorder="1" applyAlignment="1">
      <alignment horizontal="center" vertical="center" wrapText="1" shrinkToFit="1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49" fontId="0" fillId="4" borderId="34" xfId="0" applyNumberFormat="1" applyFill="1" applyBorder="1" applyAlignment="1">
      <alignment horizontal="center" vertical="center" shrinkToFit="1"/>
    </xf>
    <xf numFmtId="49" fontId="0" fillId="4" borderId="35" xfId="0" applyNumberFormat="1" applyFill="1" applyBorder="1" applyAlignment="1">
      <alignment horizontal="center" vertical="center" shrinkToFit="1"/>
    </xf>
    <xf numFmtId="49" fontId="0" fillId="4" borderId="36" xfId="0" applyNumberFormat="1" applyFill="1" applyBorder="1" applyAlignment="1">
      <alignment horizontal="center" vertical="center" shrinkToFit="1"/>
    </xf>
    <xf numFmtId="49" fontId="0" fillId="4" borderId="9" xfId="0" applyNumberFormat="1" applyFill="1" applyBorder="1" applyAlignment="1">
      <alignment horizontal="center" vertical="center" shrinkToFit="1"/>
    </xf>
    <xf numFmtId="49" fontId="0" fillId="4" borderId="0" xfId="0" applyNumberFormat="1" applyFill="1" applyBorder="1" applyAlignment="1">
      <alignment horizontal="center" vertical="center" shrinkToFit="1"/>
    </xf>
    <xf numFmtId="0" fontId="2" fillId="4" borderId="0" xfId="0" applyFont="1" applyFill="1" applyBorder="1" applyAlignment="1">
      <alignment horizontal="left" vertical="center" indent="2" shrinkToFit="1"/>
    </xf>
    <xf numFmtId="0" fontId="2" fillId="4" borderId="5" xfId="0" applyFont="1" applyFill="1" applyBorder="1" applyAlignment="1">
      <alignment horizontal="left" vertical="center" indent="2" shrinkToFit="1"/>
    </xf>
    <xf numFmtId="0" fontId="1" fillId="4" borderId="38" xfId="0" applyNumberFormat="1" applyFont="1" applyFill="1" applyBorder="1" applyAlignment="1">
      <alignment horizontal="center" vertical="center" shrinkToFit="1"/>
    </xf>
    <xf numFmtId="0" fontId="1" fillId="4" borderId="33" xfId="0" applyNumberFormat="1" applyFont="1" applyFill="1" applyBorder="1" applyAlignment="1">
      <alignment horizontal="center" vertical="center" shrinkToFit="1"/>
    </xf>
    <xf numFmtId="0" fontId="1" fillId="4" borderId="39" xfId="0" applyNumberFormat="1" applyFont="1" applyFill="1" applyBorder="1" applyAlignment="1">
      <alignment horizontal="center" vertical="center" shrinkToFit="1"/>
    </xf>
    <xf numFmtId="166" fontId="2" fillId="4" borderId="0" xfId="0" applyNumberFormat="1" applyFont="1" applyFill="1" applyBorder="1" applyAlignment="1">
      <alignment horizontal="left" indent="2" shrinkToFit="1"/>
    </xf>
    <xf numFmtId="166" fontId="2" fillId="4" borderId="5" xfId="0" applyNumberFormat="1" applyFont="1" applyFill="1" applyBorder="1" applyAlignment="1">
      <alignment horizontal="left" indent="2" shrinkToFit="1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4" borderId="9" xfId="0" applyNumberFormat="1" applyFont="1" applyFill="1" applyBorder="1" applyAlignment="1">
      <alignment horizontal="center" vertical="center" shrinkToFit="1"/>
    </xf>
    <xf numFmtId="0" fontId="1" fillId="4" borderId="0" xfId="0" applyNumberFormat="1" applyFont="1" applyFill="1" applyBorder="1" applyAlignment="1">
      <alignment horizontal="center" vertical="center" shrinkToFit="1"/>
    </xf>
    <xf numFmtId="0" fontId="1" fillId="4" borderId="5" xfId="0" applyNumberFormat="1" applyFon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 shrinkToFit="1"/>
    </xf>
    <xf numFmtId="0" fontId="1" fillId="4" borderId="31" xfId="0" applyNumberFormat="1" applyFont="1" applyFill="1" applyBorder="1" applyAlignment="1">
      <alignment horizontal="center" vertical="center" shrinkToFit="1"/>
    </xf>
    <xf numFmtId="0" fontId="1" fillId="4" borderId="49" xfId="0" applyNumberFormat="1" applyFont="1" applyFill="1" applyBorder="1" applyAlignment="1">
      <alignment horizontal="center" vertical="center" shrinkToFit="1"/>
    </xf>
    <xf numFmtId="10" fontId="1" fillId="4" borderId="38" xfId="0" applyNumberFormat="1" applyFont="1" applyFill="1" applyBorder="1" applyAlignment="1">
      <alignment horizontal="center" vertical="center" shrinkToFit="1"/>
    </xf>
    <xf numFmtId="10" fontId="1" fillId="4" borderId="33" xfId="0" applyNumberFormat="1" applyFont="1" applyFill="1" applyBorder="1" applyAlignment="1">
      <alignment horizontal="center" vertical="center" shrinkToFit="1"/>
    </xf>
    <xf numFmtId="10" fontId="1" fillId="4" borderId="39" xfId="0" applyNumberFormat="1" applyFont="1" applyFill="1" applyBorder="1" applyAlignment="1">
      <alignment horizontal="center" vertical="center" shrinkToFit="1"/>
    </xf>
    <xf numFmtId="0" fontId="1" fillId="5" borderId="35" xfId="0" applyFont="1" applyFill="1" applyBorder="1" applyAlignment="1">
      <alignment horizontal="center" vertical="center" shrinkToFit="1"/>
    </xf>
    <xf numFmtId="0" fontId="1" fillId="5" borderId="36" xfId="0" applyFont="1" applyFill="1" applyBorder="1" applyAlignment="1">
      <alignment horizontal="center" vertical="center" shrinkToFit="1"/>
    </xf>
    <xf numFmtId="0" fontId="1" fillId="5" borderId="0" xfId="0" applyFont="1" applyFill="1" applyBorder="1" applyAlignment="1">
      <alignment horizontal="center" vertical="center" shrinkToFit="1"/>
    </xf>
    <xf numFmtId="0" fontId="1" fillId="5" borderId="5" xfId="0" applyFont="1" applyFill="1" applyBorder="1" applyAlignment="1">
      <alignment horizontal="center" vertical="center" shrinkToFit="1"/>
    </xf>
    <xf numFmtId="0" fontId="1" fillId="5" borderId="33" xfId="0" quotePrefix="1" applyFont="1" applyFill="1" applyBorder="1" applyAlignment="1">
      <alignment horizontal="center" vertical="center" shrinkToFit="1"/>
    </xf>
    <xf numFmtId="0" fontId="1" fillId="5" borderId="33" xfId="0" applyFont="1" applyFill="1" applyBorder="1" applyAlignment="1">
      <alignment horizontal="center" vertical="center" shrinkToFit="1"/>
    </xf>
    <xf numFmtId="0" fontId="1" fillId="5" borderId="39" xfId="0" applyFont="1" applyFill="1" applyBorder="1" applyAlignment="1">
      <alignment horizontal="center" vertical="center" shrinkToFit="1"/>
    </xf>
    <xf numFmtId="49" fontId="0" fillId="0" borderId="21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49" fontId="0" fillId="0" borderId="4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40" xfId="0" applyNumberFormat="1" applyBorder="1" applyAlignment="1">
      <alignment horizontal="center" vertical="center"/>
    </xf>
    <xf numFmtId="0" fontId="0" fillId="0" borderId="45" xfId="0" applyNumberFormat="1" applyBorder="1" applyAlignment="1">
      <alignment horizontal="center" vertical="center"/>
    </xf>
    <xf numFmtId="0" fontId="0" fillId="3" borderId="18" xfId="0" applyFill="1" applyBorder="1" applyAlignment="1">
      <alignment horizontal="center" vertical="center" wrapText="1"/>
    </xf>
    <xf numFmtId="0" fontId="0" fillId="3" borderId="37" xfId="0" applyFill="1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/>
    </xf>
    <xf numFmtId="0" fontId="0" fillId="3" borderId="41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0" fillId="3" borderId="43" xfId="0" applyFill="1" applyBorder="1" applyAlignment="1">
      <alignment horizontal="center" vertical="center" wrapText="1"/>
    </xf>
    <xf numFmtId="49" fontId="0" fillId="0" borderId="28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0" fontId="0" fillId="0" borderId="42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3" borderId="44" xfId="0" applyFill="1" applyBorder="1" applyAlignment="1">
      <alignment horizontal="center" vertical="center" wrapText="1"/>
    </xf>
    <xf numFmtId="0" fontId="0" fillId="3" borderId="46" xfId="0" applyFill="1" applyBorder="1" applyAlignment="1">
      <alignment horizontal="center" vertical="center" wrapText="1"/>
    </xf>
    <xf numFmtId="165" fontId="1" fillId="4" borderId="38" xfId="0" applyNumberFormat="1" applyFont="1" applyFill="1" applyBorder="1" applyAlignment="1">
      <alignment horizontal="center" vertical="center" shrinkToFit="1"/>
    </xf>
    <xf numFmtId="165" fontId="1" fillId="4" borderId="33" xfId="0" applyNumberFormat="1" applyFont="1" applyFill="1" applyBorder="1" applyAlignment="1">
      <alignment horizontal="center" vertical="center" shrinkToFit="1"/>
    </xf>
    <xf numFmtId="165" fontId="1" fillId="4" borderId="39" xfId="0" applyNumberFormat="1" applyFont="1" applyFill="1" applyBorder="1" applyAlignment="1">
      <alignment horizontal="center" vertical="center" shrinkToFit="1"/>
    </xf>
    <xf numFmtId="0" fontId="0" fillId="6" borderId="53" xfId="0" applyNumberFormat="1" applyFill="1" applyBorder="1" applyAlignment="1">
      <alignment horizontal="center" vertical="center"/>
    </xf>
    <xf numFmtId="0" fontId="0" fillId="6" borderId="55" xfId="0" applyNumberFormat="1" applyFill="1" applyBorder="1" applyAlignment="1">
      <alignment horizontal="center" vertical="center"/>
    </xf>
    <xf numFmtId="0" fontId="0" fillId="6" borderId="54" xfId="0" applyNumberFormat="1" applyFill="1" applyBorder="1" applyAlignment="1">
      <alignment horizontal="center" vertical="center"/>
    </xf>
    <xf numFmtId="0" fontId="0" fillId="6" borderId="56" xfId="0" applyNumberForma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49" fontId="0" fillId="4" borderId="34" xfId="0" applyNumberFormat="1" applyFill="1" applyBorder="1" applyAlignment="1">
      <alignment horizontal="center" vertical="center" wrapText="1"/>
    </xf>
    <xf numFmtId="49" fontId="0" fillId="4" borderId="35" xfId="0" applyNumberFormat="1" applyFill="1" applyBorder="1" applyAlignment="1">
      <alignment horizontal="center" vertical="center" wrapText="1"/>
    </xf>
    <xf numFmtId="49" fontId="0" fillId="4" borderId="36" xfId="0" applyNumberFormat="1" applyFill="1" applyBorder="1" applyAlignment="1">
      <alignment horizontal="center" vertical="center" wrapText="1"/>
    </xf>
    <xf numFmtId="10" fontId="1" fillId="4" borderId="38" xfId="0" applyNumberFormat="1" applyFont="1" applyFill="1" applyBorder="1" applyAlignment="1">
      <alignment horizontal="center" vertical="center"/>
    </xf>
    <xf numFmtId="10" fontId="1" fillId="4" borderId="33" xfId="0" applyNumberFormat="1" applyFont="1" applyFill="1" applyBorder="1" applyAlignment="1">
      <alignment horizontal="center" vertical="center"/>
    </xf>
    <xf numFmtId="10" fontId="1" fillId="4" borderId="39" xfId="0" applyNumberFormat="1" applyFont="1" applyFill="1" applyBorder="1" applyAlignment="1">
      <alignment horizontal="center" vertical="center"/>
    </xf>
    <xf numFmtId="165" fontId="1" fillId="4" borderId="38" xfId="0" applyNumberFormat="1" applyFont="1" applyFill="1" applyBorder="1" applyAlignment="1">
      <alignment horizontal="center" vertical="center"/>
    </xf>
    <xf numFmtId="165" fontId="1" fillId="4" borderId="33" xfId="0" applyNumberFormat="1" applyFont="1" applyFill="1" applyBorder="1" applyAlignment="1">
      <alignment horizontal="center" vertical="center"/>
    </xf>
    <xf numFmtId="165" fontId="1" fillId="4" borderId="39" xfId="0" applyNumberFormat="1" applyFont="1" applyFill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0" fontId="0" fillId="3" borderId="27" xfId="0" applyFill="1" applyBorder="1" applyAlignment="1">
      <alignment horizontal="center" vertical="center" wrapText="1"/>
    </xf>
    <xf numFmtId="10" fontId="1" fillId="4" borderId="9" xfId="0" applyNumberFormat="1" applyFont="1" applyFill="1" applyBorder="1" applyAlignment="1">
      <alignment horizontal="center" vertical="center"/>
    </xf>
    <xf numFmtId="10" fontId="1" fillId="4" borderId="0" xfId="0" applyNumberFormat="1" applyFont="1" applyFill="1" applyBorder="1" applyAlignment="1">
      <alignment horizontal="center" vertical="center"/>
    </xf>
    <xf numFmtId="10" fontId="1" fillId="4" borderId="5" xfId="0" applyNumberFormat="1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49" fontId="0" fillId="4" borderId="9" xfId="0" applyNumberFormat="1" applyFill="1" applyBorder="1" applyAlignment="1">
      <alignment horizontal="center" vertical="center" wrapText="1"/>
    </xf>
    <xf numFmtId="49" fontId="0" fillId="4" borderId="0" xfId="0" applyNumberFormat="1" applyFill="1" applyBorder="1" applyAlignment="1">
      <alignment horizontal="center" vertical="center" wrapText="1"/>
    </xf>
    <xf numFmtId="49" fontId="0" fillId="4" borderId="5" xfId="0" applyNumberFormat="1" applyFill="1" applyBorder="1" applyAlignment="1">
      <alignment horizontal="center" vertical="center" wrapText="1"/>
    </xf>
    <xf numFmtId="49" fontId="0" fillId="4" borderId="9" xfId="0" applyNumberFormat="1" applyFill="1" applyBorder="1" applyAlignment="1">
      <alignment vertical="center" shrinkToFit="1"/>
    </xf>
    <xf numFmtId="49" fontId="0" fillId="4" borderId="0" xfId="0" applyNumberFormat="1" applyFill="1" applyBorder="1" applyAlignment="1">
      <alignment vertical="center" shrinkToFit="1"/>
    </xf>
    <xf numFmtId="0" fontId="1" fillId="0" borderId="0" xfId="0" applyFont="1" applyFill="1" applyBorder="1" applyAlignment="1">
      <alignment vertical="center" shrinkToFit="1"/>
    </xf>
    <xf numFmtId="0" fontId="1" fillId="0" borderId="5" xfId="0" applyFont="1" applyFill="1" applyBorder="1" applyAlignment="1">
      <alignment vertical="center" shrinkToFit="1"/>
    </xf>
    <xf numFmtId="0" fontId="1" fillId="0" borderId="33" xfId="0" quotePrefix="1" applyFont="1" applyFill="1" applyBorder="1" applyAlignment="1">
      <alignment vertical="center" shrinkToFit="1"/>
    </xf>
    <xf numFmtId="0" fontId="1" fillId="0" borderId="33" xfId="0" applyFont="1" applyFill="1" applyBorder="1" applyAlignment="1">
      <alignment vertical="center" shrinkToFit="1"/>
    </xf>
    <xf numFmtId="0" fontId="1" fillId="0" borderId="39" xfId="0" applyFont="1" applyFill="1" applyBorder="1" applyAlignment="1">
      <alignment vertical="center" shrinkToFit="1"/>
    </xf>
    <xf numFmtId="49" fontId="0" fillId="0" borderId="34" xfId="0" applyNumberFormat="1" applyFill="1" applyBorder="1" applyAlignment="1">
      <alignment vertical="center" shrinkToFit="1"/>
    </xf>
    <xf numFmtId="49" fontId="0" fillId="0" borderId="35" xfId="0" applyNumberFormat="1" applyFill="1" applyBorder="1" applyAlignment="1">
      <alignment vertical="center" shrinkToFit="1"/>
    </xf>
    <xf numFmtId="49" fontId="0" fillId="0" borderId="36" xfId="0" applyNumberFormat="1" applyFill="1" applyBorder="1" applyAlignment="1">
      <alignment vertical="center" shrinkToFit="1"/>
    </xf>
    <xf numFmtId="0" fontId="1" fillId="0" borderId="35" xfId="0" applyFont="1" applyFill="1" applyBorder="1" applyAlignment="1">
      <alignment vertical="center" shrinkToFit="1"/>
    </xf>
    <xf numFmtId="0" fontId="1" fillId="0" borderId="36" xfId="0" applyFont="1" applyFill="1" applyBorder="1" applyAlignment="1">
      <alignment vertical="center" shrinkToFit="1"/>
    </xf>
    <xf numFmtId="49" fontId="0" fillId="0" borderId="9" xfId="0" applyNumberFormat="1" applyFill="1" applyBorder="1" applyAlignment="1">
      <alignment vertical="center" shrinkToFit="1"/>
    </xf>
    <xf numFmtId="49" fontId="0" fillId="0" borderId="0" xfId="0" applyNumberFormat="1" applyFill="1" applyBorder="1" applyAlignment="1">
      <alignment vertical="center" shrinkToFit="1"/>
    </xf>
    <xf numFmtId="0" fontId="2" fillId="0" borderId="0" xfId="0" applyFont="1" applyFill="1" applyBorder="1" applyAlignment="1">
      <alignment vertical="center" shrinkToFit="1"/>
    </xf>
    <xf numFmtId="0" fontId="2" fillId="0" borderId="5" xfId="0" applyFont="1" applyFill="1" applyBorder="1" applyAlignment="1">
      <alignment vertical="center" shrinkToFit="1"/>
    </xf>
    <xf numFmtId="0" fontId="1" fillId="0" borderId="38" xfId="0" applyNumberFormat="1" applyFont="1" applyFill="1" applyBorder="1" applyAlignment="1">
      <alignment vertical="center" shrinkToFit="1"/>
    </xf>
    <xf numFmtId="0" fontId="1" fillId="0" borderId="33" xfId="0" applyNumberFormat="1" applyFont="1" applyFill="1" applyBorder="1" applyAlignment="1">
      <alignment vertical="center" shrinkToFit="1"/>
    </xf>
    <xf numFmtId="0" fontId="1" fillId="0" borderId="39" xfId="0" applyNumberFormat="1" applyFont="1" applyFill="1" applyBorder="1" applyAlignment="1">
      <alignment vertical="center" shrinkToFit="1"/>
    </xf>
    <xf numFmtId="166" fontId="2" fillId="0" borderId="0" xfId="0" applyNumberFormat="1" applyFont="1" applyFill="1" applyBorder="1" applyAlignment="1">
      <alignment shrinkToFit="1"/>
    </xf>
    <xf numFmtId="166" fontId="2" fillId="0" borderId="5" xfId="0" applyNumberFormat="1" applyFont="1" applyFill="1" applyBorder="1" applyAlignment="1">
      <alignment shrinkToFit="1"/>
    </xf>
    <xf numFmtId="0" fontId="1" fillId="0" borderId="9" xfId="0" applyNumberFormat="1" applyFont="1" applyFill="1" applyBorder="1" applyAlignment="1">
      <alignment vertical="center" shrinkToFit="1"/>
    </xf>
    <xf numFmtId="0" fontId="1" fillId="0" borderId="0" xfId="0" applyNumberFormat="1" applyFont="1" applyFill="1" applyBorder="1" applyAlignment="1">
      <alignment vertical="center" shrinkToFit="1"/>
    </xf>
    <xf numFmtId="0" fontId="1" fillId="0" borderId="5" xfId="0" applyNumberFormat="1" applyFont="1" applyFill="1" applyBorder="1" applyAlignment="1">
      <alignment vertical="center" shrinkToFit="1"/>
    </xf>
    <xf numFmtId="167" fontId="0" fillId="0" borderId="0" xfId="0" applyNumberFormat="1" applyFill="1" applyBorder="1" applyAlignment="1">
      <alignment horizontal="center" shrinkToFit="1"/>
    </xf>
    <xf numFmtId="166" fontId="0" fillId="0" borderId="0" xfId="0" applyNumberFormat="1" applyFill="1" applyBorder="1" applyAlignment="1">
      <alignment horizontal="center" shrinkToFit="1"/>
    </xf>
    <xf numFmtId="10" fontId="0" fillId="0" borderId="0" xfId="0" applyNumberFormat="1" applyFill="1" applyBorder="1" applyAlignment="1">
      <alignment horizontal="center" vertical="center" shrinkToFit="1"/>
    </xf>
    <xf numFmtId="168" fontId="0" fillId="0" borderId="0" xfId="0" applyNumberFormat="1" applyFill="1" applyBorder="1" applyAlignment="1">
      <alignment horizontal="center" vertical="center" shrinkToFit="1"/>
    </xf>
    <xf numFmtId="49" fontId="0" fillId="0" borderId="34" xfId="0" applyNumberFormat="1" applyFill="1" applyBorder="1" applyAlignment="1">
      <alignment horizontal="center" vertical="center" shrinkToFit="1"/>
    </xf>
    <xf numFmtId="0" fontId="0" fillId="0" borderId="35" xfId="0" applyFill="1" applyBorder="1" applyAlignment="1">
      <alignment vertical="center" shrinkToFit="1"/>
    </xf>
    <xf numFmtId="49" fontId="0" fillId="0" borderId="35" xfId="0" applyNumberFormat="1" applyFill="1" applyBorder="1" applyAlignment="1">
      <alignment horizontal="center" vertical="center" shrinkToFit="1"/>
    </xf>
    <xf numFmtId="49" fontId="0" fillId="0" borderId="36" xfId="0" applyNumberFormat="1" applyFill="1" applyBorder="1" applyAlignment="1">
      <alignment horizontal="center" vertical="center" shrinkToFit="1"/>
    </xf>
    <xf numFmtId="0" fontId="0" fillId="0" borderId="0" xfId="0" applyFill="1" applyBorder="1" applyAlignment="1">
      <alignment shrinkToFit="1"/>
    </xf>
    <xf numFmtId="49" fontId="0" fillId="0" borderId="5" xfId="0" applyNumberFormat="1" applyFill="1" applyBorder="1" applyAlignment="1">
      <alignment vertical="center" shrinkToFit="1"/>
    </xf>
    <xf numFmtId="0" fontId="1" fillId="0" borderId="38" xfId="0" applyNumberFormat="1" applyFont="1" applyFill="1" applyBorder="1" applyAlignment="1">
      <alignment horizontal="center" vertical="center" shrinkToFit="1"/>
    </xf>
    <xf numFmtId="0" fontId="1" fillId="0" borderId="33" xfId="0" applyNumberFormat="1" applyFont="1" applyFill="1" applyBorder="1" applyAlignment="1">
      <alignment horizontal="center" vertical="center" shrinkToFit="1"/>
    </xf>
    <xf numFmtId="0" fontId="1" fillId="0" borderId="39" xfId="0" applyNumberFormat="1" applyFont="1" applyFill="1" applyBorder="1" applyAlignment="1">
      <alignment horizontal="center" vertical="center" shrinkToFit="1"/>
    </xf>
    <xf numFmtId="0" fontId="0" fillId="0" borderId="35" xfId="0" applyFill="1" applyBorder="1" applyAlignment="1">
      <alignment horizontal="center" vertical="center" shrinkToFit="1"/>
    </xf>
    <xf numFmtId="49" fontId="3" fillId="0" borderId="9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0" fillId="0" borderId="35" xfId="0" applyFill="1" applyBorder="1" applyAlignment="1">
      <alignment vertical="center" wrapText="1" shrinkToFit="1"/>
    </xf>
    <xf numFmtId="0" fontId="1" fillId="0" borderId="35" xfId="0" applyFont="1" applyFill="1" applyBorder="1" applyAlignment="1">
      <alignment vertical="center" wrapText="1" shrinkToFit="1"/>
    </xf>
    <xf numFmtId="0" fontId="1" fillId="0" borderId="0" xfId="0" applyFont="1" applyFill="1" applyBorder="1" applyAlignment="1">
      <alignment vertical="center" wrapText="1" shrinkToFit="1"/>
    </xf>
    <xf numFmtId="49" fontId="0" fillId="0" borderId="5" xfId="0" applyNumberFormat="1" applyFill="1" applyBorder="1" applyAlignment="1">
      <alignment horizontal="center" vertical="center" shrinkToFit="1"/>
    </xf>
    <xf numFmtId="0" fontId="1" fillId="0" borderId="58" xfId="0" applyNumberFormat="1" applyFont="1" applyFill="1" applyBorder="1" applyAlignment="1">
      <alignment vertical="center" shrinkToFit="1"/>
    </xf>
    <xf numFmtId="0" fontId="1" fillId="0" borderId="48" xfId="0" applyNumberFormat="1" applyFont="1" applyFill="1" applyBorder="1" applyAlignment="1">
      <alignment vertical="center" shrinkToFit="1"/>
    </xf>
    <xf numFmtId="0" fontId="1" fillId="0" borderId="48" xfId="0" applyNumberFormat="1" applyFont="1" applyFill="1" applyBorder="1" applyAlignment="1">
      <alignment vertical="center" wrapText="1" shrinkToFit="1"/>
    </xf>
    <xf numFmtId="0" fontId="1" fillId="0" borderId="48" xfId="0" applyNumberFormat="1" applyFont="1" applyFill="1" applyBorder="1" applyAlignment="1">
      <alignment horizontal="center" vertical="center" wrapText="1" shrinkToFit="1"/>
    </xf>
    <xf numFmtId="0" fontId="1" fillId="0" borderId="59" xfId="0" applyNumberFormat="1" applyFont="1" applyFill="1" applyBorder="1" applyAlignment="1">
      <alignment horizontal="center" vertical="center" shrinkToFit="1"/>
    </xf>
    <xf numFmtId="49" fontId="0" fillId="4" borderId="60" xfId="0" applyNumberFormat="1" applyFill="1" applyBorder="1" applyAlignment="1">
      <alignment horizontal="center" vertical="center" shrinkToFit="1"/>
    </xf>
    <xf numFmtId="49" fontId="3" fillId="4" borderId="9" xfId="0" applyNumberFormat="1" applyFont="1" applyFill="1" applyBorder="1" applyAlignment="1">
      <alignment horizontal="center" vertical="center" shrinkToFit="1"/>
    </xf>
    <xf numFmtId="49" fontId="3" fillId="4" borderId="57" xfId="0" applyNumberFormat="1" applyFont="1" applyFill="1" applyBorder="1" applyAlignment="1">
      <alignment horizontal="center" vertical="center" shrinkToFit="1"/>
    </xf>
    <xf numFmtId="0" fontId="0" fillId="4" borderId="61" xfId="0" applyFill="1" applyBorder="1" applyAlignment="1">
      <alignment horizontal="center" vertical="center" shrinkToFit="1"/>
    </xf>
    <xf numFmtId="0" fontId="0" fillId="4" borderId="60" xfId="0" applyFill="1" applyBorder="1" applyAlignment="1">
      <alignment horizontal="center" vertical="center" shrinkToFit="1"/>
    </xf>
    <xf numFmtId="0" fontId="3" fillId="4" borderId="4" xfId="0" applyFont="1" applyFill="1" applyBorder="1" applyAlignment="1">
      <alignment horizontal="center" vertical="center" shrinkToFit="1"/>
    </xf>
    <xf numFmtId="0" fontId="3" fillId="4" borderId="57" xfId="0" applyFont="1" applyFill="1" applyBorder="1" applyAlignment="1">
      <alignment horizontal="center" vertical="center" shrinkToFit="1"/>
    </xf>
    <xf numFmtId="49" fontId="3" fillId="4" borderId="4" xfId="0" applyNumberFormat="1" applyFont="1" applyFill="1" applyBorder="1" applyAlignment="1">
      <alignment horizontal="center" vertical="center" shrinkToFit="1"/>
    </xf>
    <xf numFmtId="0" fontId="0" fillId="4" borderId="61" xfId="0" applyFont="1" applyFill="1" applyBorder="1" applyAlignment="1">
      <alignment horizontal="center" vertical="center" shrinkToFit="1"/>
    </xf>
    <xf numFmtId="0" fontId="0" fillId="4" borderId="36" xfId="0" applyFont="1" applyFill="1" applyBorder="1" applyAlignment="1">
      <alignment horizontal="center" vertical="center" shrinkToFit="1"/>
    </xf>
    <xf numFmtId="0" fontId="3" fillId="4" borderId="5" xfId="0" applyFont="1" applyFill="1" applyBorder="1" applyAlignment="1">
      <alignment horizontal="center" vertical="center" shrinkToFit="1"/>
    </xf>
    <xf numFmtId="49" fontId="3" fillId="4" borderId="5" xfId="0" applyNumberFormat="1" applyFont="1" applyFill="1" applyBorder="1" applyAlignment="1">
      <alignment horizontal="center" vertical="center" shrinkToFit="1"/>
    </xf>
    <xf numFmtId="0" fontId="0" fillId="4" borderId="35" xfId="0" applyFill="1" applyBorder="1" applyAlignment="1">
      <alignment horizontal="center" vertical="center" shrinkToFit="1"/>
    </xf>
    <xf numFmtId="0" fontId="0" fillId="4" borderId="22" xfId="0" applyFont="1" applyFill="1" applyBorder="1" applyAlignment="1">
      <alignment horizontal="center" vertical="center" shrinkToFit="1"/>
    </xf>
    <xf numFmtId="0" fontId="3" fillId="4" borderId="0" xfId="0" applyFont="1" applyFill="1" applyBorder="1" applyAlignment="1">
      <alignment horizontal="center" vertical="center" shrinkToFit="1"/>
    </xf>
    <xf numFmtId="49" fontId="3" fillId="4" borderId="0" xfId="0" applyNumberFormat="1" applyFont="1" applyFill="1" applyBorder="1" applyAlignment="1">
      <alignment horizontal="center" vertical="center" shrinkToFit="1"/>
    </xf>
    <xf numFmtId="49" fontId="3" fillId="4" borderId="3" xfId="0" applyNumberFormat="1" applyFont="1" applyFill="1" applyBorder="1" applyAlignment="1">
      <alignment horizontal="center" vertical="center" shrinkToFit="1"/>
    </xf>
    <xf numFmtId="0" fontId="0" fillId="0" borderId="12" xfId="0" applyNumberFormat="1" applyBorder="1" applyAlignment="1">
      <alignment shrinkToFit="1"/>
    </xf>
    <xf numFmtId="49" fontId="0" fillId="0" borderId="13" xfId="0" applyNumberFormat="1" applyBorder="1" applyAlignment="1">
      <alignment shrinkToFit="1"/>
    </xf>
    <xf numFmtId="49" fontId="0" fillId="0" borderId="14" xfId="0" applyNumberFormat="1" applyBorder="1" applyAlignment="1">
      <alignment shrinkToFit="1"/>
    </xf>
    <xf numFmtId="0" fontId="0" fillId="0" borderId="0" xfId="0" applyNumberFormat="1" applyAlignment="1">
      <alignment shrinkToFit="1"/>
    </xf>
    <xf numFmtId="0" fontId="0" fillId="0" borderId="10" xfId="0" applyNumberFormat="1" applyBorder="1" applyAlignment="1">
      <alignment shrinkToFit="1"/>
    </xf>
    <xf numFmtId="0" fontId="0" fillId="0" borderId="11" xfId="0" applyNumberFormat="1" applyBorder="1" applyAlignment="1">
      <alignment shrinkToFit="1"/>
    </xf>
    <xf numFmtId="0" fontId="0" fillId="0" borderId="16" xfId="0" applyNumberFormat="1" applyBorder="1" applyAlignment="1">
      <alignment shrinkToFit="1"/>
    </xf>
    <xf numFmtId="0" fontId="0" fillId="0" borderId="0" xfId="0" applyAlignment="1">
      <alignment shrinkToFit="1"/>
    </xf>
    <xf numFmtId="0" fontId="0" fillId="0" borderId="13" xfId="0" applyNumberFormat="1" applyBorder="1" applyAlignment="1">
      <alignment shrinkToFit="1"/>
    </xf>
    <xf numFmtId="0" fontId="1" fillId="4" borderId="62" xfId="0" applyNumberFormat="1" applyFont="1" applyFill="1" applyBorder="1" applyAlignment="1">
      <alignment horizontal="center" vertical="center" shrinkToFit="1"/>
    </xf>
    <xf numFmtId="0" fontId="1" fillId="4" borderId="39" xfId="0" applyFont="1" applyFill="1" applyBorder="1" applyAlignment="1">
      <alignment horizontal="center" vertical="center" shrinkToFit="1"/>
    </xf>
    <xf numFmtId="49" fontId="3" fillId="4" borderId="9" xfId="0" applyNumberFormat="1" applyFont="1" applyFill="1" applyBorder="1" applyAlignment="1">
      <alignment horizontal="center" vertical="center" shrinkToFit="1"/>
    </xf>
    <xf numFmtId="49" fontId="3" fillId="4" borderId="0" xfId="0" applyNumberFormat="1" applyFont="1" applyFill="1" applyBorder="1" applyAlignment="1">
      <alignment horizontal="center" vertical="center" shrinkToFit="1"/>
    </xf>
    <xf numFmtId="49" fontId="3" fillId="4" borderId="5" xfId="0" applyNumberFormat="1" applyFont="1" applyFill="1" applyBorder="1" applyAlignment="1">
      <alignment horizontal="center" vertical="center" shrinkToFit="1"/>
    </xf>
    <xf numFmtId="0" fontId="2" fillId="4" borderId="63" xfId="0" applyFont="1" applyFill="1" applyBorder="1" applyAlignment="1">
      <alignment horizontal="left" vertical="center" indent="2" shrinkToFit="1"/>
    </xf>
    <xf numFmtId="173" fontId="0" fillId="6" borderId="52" xfId="0" applyNumberFormat="1" applyFill="1" applyBorder="1" applyAlignment="1">
      <alignment horizontal="center" vertical="center" shrinkToFit="1"/>
    </xf>
    <xf numFmtId="0" fontId="1" fillId="5" borderId="31" xfId="0" applyNumberFormat="1" applyFont="1" applyFill="1" applyBorder="1" applyAlignment="1">
      <alignment horizontal="center" vertical="center" wrapText="1" shrinkToFit="1"/>
    </xf>
    <xf numFmtId="0" fontId="1" fillId="5" borderId="60" xfId="0" applyFont="1" applyFill="1" applyBorder="1" applyAlignment="1">
      <alignment horizontal="center" vertical="center" wrapText="1" shrinkToFit="1"/>
    </xf>
    <xf numFmtId="0" fontId="1" fillId="5" borderId="57" xfId="0" applyFont="1" applyFill="1" applyBorder="1" applyAlignment="1">
      <alignment horizontal="center" vertical="center" wrapText="1" shrinkToFit="1"/>
    </xf>
    <xf numFmtId="0" fontId="1" fillId="5" borderId="62" xfId="0" applyNumberFormat="1" applyFont="1" applyFill="1" applyBorder="1" applyAlignment="1">
      <alignment horizontal="center" vertical="center" wrapText="1" shrinkToFit="1"/>
    </xf>
    <xf numFmtId="49" fontId="3" fillId="4" borderId="3" xfId="0" applyNumberFormat="1" applyFont="1" applyFill="1" applyBorder="1" applyAlignment="1">
      <alignment horizontal="center" vertical="center" shrinkToFit="1"/>
    </xf>
    <xf numFmtId="49" fontId="3" fillId="4" borderId="17" xfId="0" applyNumberFormat="1" applyFont="1" applyFill="1" applyBorder="1" applyAlignment="1">
      <alignment horizontal="center" vertical="center" shrinkToFit="1"/>
    </xf>
    <xf numFmtId="166" fontId="2" fillId="4" borderId="3" xfId="0" applyNumberFormat="1" applyFont="1" applyFill="1" applyBorder="1" applyAlignment="1">
      <alignment shrinkToFit="1"/>
    </xf>
    <xf numFmtId="166" fontId="2" fillId="4" borderId="17" xfId="0" applyNumberFormat="1" applyFont="1" applyFill="1" applyBorder="1" applyAlignment="1">
      <alignment shrinkToFit="1"/>
    </xf>
    <xf numFmtId="49" fontId="3" fillId="5" borderId="34" xfId="0" applyNumberFormat="1" applyFont="1" applyFill="1" applyBorder="1" applyAlignment="1">
      <alignment horizontal="center" vertical="center" shrinkToFit="1"/>
    </xf>
    <xf numFmtId="49" fontId="3" fillId="5" borderId="35" xfId="0" applyNumberFormat="1" applyFont="1" applyFill="1" applyBorder="1" applyAlignment="1">
      <alignment horizontal="center" vertical="center" shrinkToFit="1"/>
    </xf>
    <xf numFmtId="49" fontId="3" fillId="5" borderId="36" xfId="0" applyNumberFormat="1" applyFont="1" applyFill="1" applyBorder="1" applyAlignment="1">
      <alignment horizontal="center" vertical="center" shrinkToFit="1"/>
    </xf>
    <xf numFmtId="0" fontId="0" fillId="5" borderId="33" xfId="0" applyFill="1" applyBorder="1" applyAlignment="1">
      <alignment horizontal="center"/>
    </xf>
    <xf numFmtId="0" fontId="0" fillId="5" borderId="40" xfId="0" applyNumberFormat="1" applyFill="1" applyBorder="1" applyAlignment="1">
      <alignment horizontal="center" vertical="center"/>
    </xf>
    <xf numFmtId="0" fontId="1" fillId="5" borderId="38" xfId="0" applyNumberFormat="1" applyFont="1" applyFill="1" applyBorder="1" applyAlignment="1">
      <alignment horizontal="center" vertical="center" shrinkToFit="1"/>
    </xf>
    <xf numFmtId="0" fontId="1" fillId="5" borderId="33" xfId="0" applyNumberFormat="1" applyFont="1" applyFill="1" applyBorder="1" applyAlignment="1">
      <alignment horizontal="center" vertical="center" shrinkToFit="1"/>
    </xf>
    <xf numFmtId="0" fontId="1" fillId="5" borderId="39" xfId="0" applyNumberFormat="1" applyFont="1" applyFill="1" applyBorder="1" applyAlignment="1">
      <alignment horizontal="center" vertical="center" shrinkToFit="1"/>
    </xf>
    <xf numFmtId="49" fontId="0" fillId="5" borderId="0" xfId="0" applyNumberFormat="1" applyFill="1" applyBorder="1" applyAlignment="1">
      <alignment horizontal="center" vertical="center" wrapText="1"/>
    </xf>
    <xf numFmtId="0" fontId="0" fillId="5" borderId="8" xfId="0" applyNumberForma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shrinkToFit="1"/>
    </xf>
    <xf numFmtId="0" fontId="0" fillId="0" borderId="13" xfId="0" applyNumberFormat="1" applyBorder="1" applyAlignment="1">
      <alignment horizontal="center" shrinkToFit="1"/>
    </xf>
    <xf numFmtId="0" fontId="0" fillId="0" borderId="9" xfId="0" applyNumberFormat="1" applyBorder="1" applyAlignment="1">
      <alignment shrinkToFit="1"/>
    </xf>
    <xf numFmtId="0" fontId="0" fillId="0" borderId="0" xfId="0" applyNumberFormat="1" applyBorder="1" applyAlignment="1">
      <alignment shrinkToFit="1"/>
    </xf>
    <xf numFmtId="175" fontId="0" fillId="0" borderId="0" xfId="0" applyNumberFormat="1" applyBorder="1" applyAlignment="1">
      <alignment shrinkToFit="1"/>
    </xf>
    <xf numFmtId="0" fontId="0" fillId="0" borderId="15" xfId="0" applyNumberFormat="1" applyBorder="1" applyAlignment="1">
      <alignment shrinkToFit="1"/>
    </xf>
    <xf numFmtId="174" fontId="0" fillId="0" borderId="0" xfId="0" applyNumberFormat="1" applyBorder="1" applyAlignment="1">
      <alignment shrinkToFit="1"/>
    </xf>
    <xf numFmtId="49" fontId="0" fillId="4" borderId="23" xfId="0" applyNumberFormat="1" applyFill="1" applyBorder="1" applyAlignment="1">
      <alignment horizontal="center" vertical="center" shrinkToFit="1"/>
    </xf>
    <xf numFmtId="49" fontId="3" fillId="4" borderId="17" xfId="0" applyNumberFormat="1" applyFont="1" applyFill="1" applyBorder="1" applyAlignment="1">
      <alignment horizontal="center" vertical="center" shrinkToFit="1"/>
    </xf>
    <xf numFmtId="49" fontId="0" fillId="4" borderId="17" xfId="0" applyNumberFormat="1" applyFill="1" applyBorder="1" applyAlignment="1">
      <alignment horizontal="center" vertical="center" shrinkToFit="1"/>
    </xf>
    <xf numFmtId="0" fontId="1" fillId="4" borderId="32" xfId="0" applyNumberFormat="1" applyFont="1" applyFill="1" applyBorder="1" applyAlignment="1">
      <alignment horizontal="center" vertical="center" shrinkToFit="1"/>
    </xf>
  </cellXfs>
  <cellStyles count="1">
    <cellStyle name="Normal" xfId="0" builtinId="0"/>
  </cellStyles>
  <dxfs count="3">
    <dxf>
      <font>
        <strike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D$69" lockText="1" noThreeD="1"/>
</file>

<file path=xl/ctrlProps/ctrlProp2.xml><?xml version="1.0" encoding="utf-8"?>
<formControlPr xmlns="http://schemas.microsoft.com/office/spreadsheetml/2009/9/main" objectType="Drop" dropStyle="combo" dx="16" fmlaLink="$E$77" fmlaRange="$E$69:$E$76" noThreeD="1" sel="1" val="0"/>
</file>

<file path=xl/ctrlProps/ctrlProp3.xml><?xml version="1.0" encoding="utf-8"?>
<formControlPr xmlns="http://schemas.microsoft.com/office/spreadsheetml/2009/9/main" objectType="CheckBox" fmlaLink="$H$69" lockText="1" noThreeD="1"/>
</file>

<file path=xl/ctrlProps/ctrlProp4.xml><?xml version="1.0" encoding="utf-8"?>
<formControlPr xmlns="http://schemas.microsoft.com/office/spreadsheetml/2009/9/main" objectType="CheckBox" fmlaLink="$I$69" lockText="1" noThreeD="1"/>
</file>

<file path=xl/ctrlProps/ctrlProp5.xml><?xml version="1.0" encoding="utf-8"?>
<formControlPr xmlns="http://schemas.microsoft.com/office/spreadsheetml/2009/9/main" objectType="Drop" dropLines="2" dropStyle="combo" dx="16" fmlaLink="$J$71" fmlaRange="$J$69:$J$70" noThreeD="1" sel="1" val="0"/>
</file>

<file path=xl/ctrlProps/ctrlProp6.xml><?xml version="1.0" encoding="utf-8"?>
<formControlPr xmlns="http://schemas.microsoft.com/office/spreadsheetml/2009/9/main" objectType="Drop" dropLines="2" dropStyle="combo" dx="16" fmlaLink="$K$71" fmlaRange="$K$69:$K$70" noThreeD="1" sel="2" val="0"/>
</file>

<file path=xl/ctrlProps/ctrlProp7.xml><?xml version="1.0" encoding="utf-8"?>
<formControlPr xmlns="http://schemas.microsoft.com/office/spreadsheetml/2009/9/main" objectType="CheckBox" fmlaLink="$K$80" lockText="1" noThreeD="1"/>
</file>

<file path=xl/ctrlProps/ctrlProp8.xml><?xml version="1.0" encoding="utf-8"?>
<formControlPr xmlns="http://schemas.microsoft.com/office/spreadsheetml/2009/9/main" objectType="Drop" dropLines="3" dropStyle="combo" dx="16" fmlaLink="$D$83" fmlaRange="$D$80:$D$82" noThreeD="1" sel="1" val="0"/>
</file>

<file path=xl/ctrlProps/ctrlProp9.xml><?xml version="1.0" encoding="utf-8"?>
<formControlPr xmlns="http://schemas.microsoft.com/office/spreadsheetml/2009/9/main" objectType="Drop" dropLines="3" dropStyle="combo" dx="16" fmlaLink="$F$83" fmlaRange="$F$80:$F$82" noThreeD="1" sel="1" val="0"/>
</file>

<file path=xl/ctrlProps/ctrlProp10.xml><?xml version="1.0" encoding="utf-8"?>
<formControlPr xmlns="http://schemas.microsoft.com/office/spreadsheetml/2009/9/main" objectType="Drop" dropLines="3" dropStyle="combo" dx="16" fmlaLink="$I$83" fmlaRange="$I$80:$I$82" noThreeD="1" sel="1" val="0"/>
</file>

<file path=xl/ctrlProps/ctrlProp11.xml><?xml version="1.0" encoding="utf-8"?>
<formControlPr xmlns="http://schemas.microsoft.com/office/spreadsheetml/2009/9/main" objectType="CheckBox" fmlaLink="#REF!" lockText="1" noThreeD="1"/>
</file>

<file path=xl/ctrlProps/ctrlProp12.xml><?xml version="1.0" encoding="utf-8"?>
<formControlPr xmlns="http://schemas.microsoft.com/office/spreadsheetml/2009/9/main" objectType="Drop" dropLines="2" dropStyle="combo" dx="16" fmlaLink="#REF!" fmlaRange="#REF!" noThreeD="1" sel="0" val="0"/>
</file>

<file path=xl/ctrlProps/ctrlProp13.xml><?xml version="1.0" encoding="utf-8"?>
<formControlPr xmlns="http://schemas.microsoft.com/office/spreadsheetml/2009/9/main" objectType="CheckBox" checked="Checked" fmlaLink="$D$82" lockText="1" noThreeD="1"/>
</file>

<file path=xl/ctrlProps/ctrlProp14.xml><?xml version="1.0" encoding="utf-8"?>
<formControlPr xmlns="http://schemas.microsoft.com/office/spreadsheetml/2009/9/main" objectType="CheckBox" checked="Checked" fmlaLink="$E$82" lockText="1" noThreeD="1"/>
</file>

<file path=xl/ctrlProps/ctrlProp15.xml><?xml version="1.0" encoding="utf-8"?>
<formControlPr xmlns="http://schemas.microsoft.com/office/spreadsheetml/2009/9/main" objectType="CheckBox" fmlaLink="$G$82" lockText="1" noThreeD="1"/>
</file>

<file path=xl/ctrlProps/ctrlProp16.xml><?xml version="1.0" encoding="utf-8"?>
<formControlPr xmlns="http://schemas.microsoft.com/office/spreadsheetml/2009/9/main" objectType="CheckBox" fmlaLink="$H$82" lockText="1" noThreeD="1"/>
</file>

<file path=xl/ctrlProps/ctrlProp17.xml><?xml version="1.0" encoding="utf-8"?>
<formControlPr xmlns="http://schemas.microsoft.com/office/spreadsheetml/2009/9/main" objectType="CheckBox" fmlaLink="$I$82" lockText="1" noThreeD="1"/>
</file>

<file path=xl/ctrlProps/ctrlProp18.xml><?xml version="1.0" encoding="utf-8"?>
<formControlPr xmlns="http://schemas.microsoft.com/office/spreadsheetml/2009/9/main" objectType="CheckBox" fmlaLink="$K$82" lockText="1" noThreeD="1"/>
</file>

<file path=xl/ctrlProps/ctrlProp19.xml><?xml version="1.0" encoding="utf-8"?>
<formControlPr xmlns="http://schemas.microsoft.com/office/spreadsheetml/2009/9/main" objectType="CheckBox" fmlaLink="$F$82" lockText="1" noThreeD="1"/>
</file>

<file path=xl/ctrlProps/ctrlProp20.xml><?xml version="1.0" encoding="utf-8"?>
<formControlPr xmlns="http://schemas.microsoft.com/office/spreadsheetml/2009/9/main" objectType="CheckBox" fmlaLink="$J$82" noThreeD="1"/>
</file>

<file path=xl/ctrlProps/ctrlProp21.xml><?xml version="1.0" encoding="utf-8"?>
<formControlPr xmlns="http://schemas.microsoft.com/office/spreadsheetml/2009/9/main" objectType="Drop" dropLines="6" dropStyle="combo" dx="16" fmlaLink="$E$91" fmlaRange="$E$85:$E$90" noThreeD="1" sel="6" val="0"/>
</file>

<file path=xl/ctrlProps/ctrlProp22.xml><?xml version="1.0" encoding="utf-8"?>
<formControlPr xmlns="http://schemas.microsoft.com/office/spreadsheetml/2009/9/main" objectType="CheckBox" checked="Checked" fmlaLink="$H$85" lockText="1" noThreeD="1"/>
</file>

<file path=xl/ctrlProps/ctrlProp23.xml><?xml version="1.0" encoding="utf-8"?>
<formControlPr xmlns="http://schemas.microsoft.com/office/spreadsheetml/2009/9/main" objectType="CheckBox" fmlaLink="$J$85" lockText="1" noThreeD="1"/>
</file>

<file path=xl/ctrlProps/ctrlProp24.xml><?xml version="1.0" encoding="utf-8"?>
<formControlPr xmlns="http://schemas.microsoft.com/office/spreadsheetml/2009/9/main" objectType="Drop" dropLines="2" dropStyle="combo" dx="16" fmlaLink="$I$87" fmlaRange="$I$85:$I$86" noThreeD="1" sel="1" val="0"/>
</file>

<file path=xl/ctrlProps/ctrlProp25.xml><?xml version="1.0" encoding="utf-8"?>
<formControlPr xmlns="http://schemas.microsoft.com/office/spreadsheetml/2009/9/main" objectType="Drop" dropLines="2" dropStyle="combo" dx="16" fmlaLink="$K$87" fmlaRange="$K$85:$K$86" noThreeD="1" sel="1" val="0"/>
</file>

<file path=xl/ctrlProps/ctrlProp26.xml><?xml version="1.0" encoding="utf-8"?>
<formControlPr xmlns="http://schemas.microsoft.com/office/spreadsheetml/2009/9/main" objectType="CheckBox" fmlaLink="$D$94" lockText="1" noThreeD="1"/>
</file>

<file path=xl/ctrlProps/ctrlProp27.xml><?xml version="1.0" encoding="utf-8"?>
<formControlPr xmlns="http://schemas.microsoft.com/office/spreadsheetml/2009/9/main" objectType="CheckBox" fmlaLink="$E$94" lockText="1" noThreeD="1"/>
</file>

<file path=xl/ctrlProps/ctrlProp28.xml><?xml version="1.0" encoding="utf-8"?>
<formControlPr xmlns="http://schemas.microsoft.com/office/spreadsheetml/2009/9/main" objectType="CheckBox" fmlaLink="$F$94" lockText="1" noThreeD="1"/>
</file>

<file path=xl/ctrlProps/ctrlProp29.xml><?xml version="1.0" encoding="utf-8"?>
<formControlPr xmlns="http://schemas.microsoft.com/office/spreadsheetml/2009/9/main" objectType="CheckBox" checked="Checked" fmlaLink="$G$94" lockText="1" noThreeD="1"/>
</file>

<file path=xl/ctrlProps/ctrlProp30.xml><?xml version="1.0" encoding="utf-8"?>
<formControlPr xmlns="http://schemas.microsoft.com/office/spreadsheetml/2009/9/main" objectType="CheckBox" checked="Checked" fmlaLink="$H$94" lockText="1" noThreeD="1"/>
</file>

<file path=xl/ctrlProps/ctrlProp31.xml><?xml version="1.0" encoding="utf-8"?>
<formControlPr xmlns="http://schemas.microsoft.com/office/spreadsheetml/2009/9/main" objectType="CheckBox" fmlaLink="$I$94" noThreeD="1"/>
</file>

<file path=xl/ctrlProps/ctrlProp32.xml><?xml version="1.0" encoding="utf-8"?>
<formControlPr xmlns="http://schemas.microsoft.com/office/spreadsheetml/2009/9/main" objectType="CheckBox" checked="Checked" fmlaLink="$K$94" lockText="1" noThreeD="1"/>
</file>

<file path=xl/ctrlProps/ctrlProp33.xml><?xml version="1.0" encoding="utf-8"?>
<formControlPr xmlns="http://schemas.microsoft.com/office/spreadsheetml/2009/9/main" objectType="Drop" dropLines="2" dropStyle="combo" dx="16" fmlaLink="$D$99" fmlaRange="$D$97:$D$98" noThreeD="1" sel="1" val="0"/>
</file>

<file path=xl/ctrlProps/ctrlProp34.xml><?xml version="1.0" encoding="utf-8"?>
<formControlPr xmlns="http://schemas.microsoft.com/office/spreadsheetml/2009/9/main" objectType="Drop" dropLines="2" dropStyle="combo" dx="16" fmlaLink="$E$99" fmlaRange="$E$97:$E$98" noThreeD="1" sel="1" val="0"/>
</file>

<file path=xl/ctrlProps/ctrlProp35.xml><?xml version="1.0" encoding="utf-8"?>
<formControlPr xmlns="http://schemas.microsoft.com/office/spreadsheetml/2009/9/main" objectType="Drop" dropLines="4" dropStyle="combo" dx="16" fmlaLink="$J$101" fmlaRange="$J$97:$J$100" noThreeD="1" sel="1" val="0"/>
</file>

<file path=xl/ctrlProps/ctrlProp36.xml><?xml version="1.0" encoding="utf-8"?>
<formControlPr xmlns="http://schemas.microsoft.com/office/spreadsheetml/2009/9/main" objectType="CheckBox" checked="Checked" fmlaLink="$F$97" lockText="1" noThreeD="1"/>
</file>

<file path=xl/ctrlProps/ctrlProp37.xml><?xml version="1.0" encoding="utf-8"?>
<formControlPr xmlns="http://schemas.microsoft.com/office/spreadsheetml/2009/9/main" objectType="CheckBox" checked="Checked" fmlaLink="$G$97" lockText="1" noThreeD="1"/>
</file>

<file path=xl/ctrlProps/ctrlProp38.xml><?xml version="1.0" encoding="utf-8"?>
<formControlPr xmlns="http://schemas.microsoft.com/office/spreadsheetml/2009/9/main" objectType="CheckBox" checked="Checked" fmlaLink="$H$97" lockText="1" noThreeD="1"/>
</file>

<file path=xl/ctrlProps/ctrlProp39.xml><?xml version="1.0" encoding="utf-8"?>
<formControlPr xmlns="http://schemas.microsoft.com/office/spreadsheetml/2009/9/main" objectType="CheckBox" checked="Checked" fmlaLink="$I$9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40</xdr:row>
          <xdr:rowOff>9525</xdr:rowOff>
        </xdr:from>
        <xdr:to>
          <xdr:col>3</xdr:col>
          <xdr:colOff>962025</xdr:colOff>
          <xdr:row>41</xdr:row>
          <xdr:rowOff>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39</xdr:row>
          <xdr:rowOff>190500</xdr:rowOff>
        </xdr:from>
        <xdr:to>
          <xdr:col>5</xdr:col>
          <xdr:colOff>1123950</xdr:colOff>
          <xdr:row>41</xdr:row>
          <xdr:rowOff>0</xdr:rowOff>
        </xdr:to>
        <xdr:sp macro="" textlink="">
          <xdr:nvSpPr>
            <xdr:cNvPr id="7205" name="Drop Down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40</xdr:row>
          <xdr:rowOff>9525</xdr:rowOff>
        </xdr:from>
        <xdr:to>
          <xdr:col>7</xdr:col>
          <xdr:colOff>962025</xdr:colOff>
          <xdr:row>41</xdr:row>
          <xdr:rowOff>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40</xdr:row>
          <xdr:rowOff>9525</xdr:rowOff>
        </xdr:from>
        <xdr:to>
          <xdr:col>8</xdr:col>
          <xdr:colOff>962025</xdr:colOff>
          <xdr:row>41</xdr:row>
          <xdr:rowOff>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40</xdr:row>
          <xdr:rowOff>0</xdr:rowOff>
        </xdr:from>
        <xdr:to>
          <xdr:col>9</xdr:col>
          <xdr:colOff>1123950</xdr:colOff>
          <xdr:row>40</xdr:row>
          <xdr:rowOff>180975</xdr:rowOff>
        </xdr:to>
        <xdr:sp macro="" textlink="">
          <xdr:nvSpPr>
            <xdr:cNvPr id="7210" name="Drop Down 42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40</xdr:row>
          <xdr:rowOff>0</xdr:rowOff>
        </xdr:from>
        <xdr:to>
          <xdr:col>10</xdr:col>
          <xdr:colOff>1123950</xdr:colOff>
          <xdr:row>40</xdr:row>
          <xdr:rowOff>180975</xdr:rowOff>
        </xdr:to>
        <xdr:sp macro="" textlink="">
          <xdr:nvSpPr>
            <xdr:cNvPr id="7211" name="Drop Down 43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43</xdr:row>
          <xdr:rowOff>9525</xdr:rowOff>
        </xdr:from>
        <xdr:to>
          <xdr:col>10</xdr:col>
          <xdr:colOff>962025</xdr:colOff>
          <xdr:row>44</xdr:row>
          <xdr:rowOff>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Start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809625</xdr:colOff>
          <xdr:row>43</xdr:row>
          <xdr:rowOff>0</xdr:rowOff>
        </xdr:from>
        <xdr:to>
          <xdr:col>4</xdr:col>
          <xdr:colOff>495300</xdr:colOff>
          <xdr:row>44</xdr:row>
          <xdr:rowOff>0</xdr:rowOff>
        </xdr:to>
        <xdr:sp macro="" textlink="">
          <xdr:nvSpPr>
            <xdr:cNvPr id="7213" name="Drop Down 45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809625</xdr:colOff>
          <xdr:row>43</xdr:row>
          <xdr:rowOff>0</xdr:rowOff>
        </xdr:from>
        <xdr:to>
          <xdr:col>6</xdr:col>
          <xdr:colOff>495300</xdr:colOff>
          <xdr:row>44</xdr:row>
          <xdr:rowOff>0</xdr:rowOff>
        </xdr:to>
        <xdr:sp macro="" textlink="">
          <xdr:nvSpPr>
            <xdr:cNvPr id="7214" name="Drop Down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42</xdr:row>
          <xdr:rowOff>190500</xdr:rowOff>
        </xdr:from>
        <xdr:to>
          <xdr:col>9</xdr:col>
          <xdr:colOff>895350</xdr:colOff>
          <xdr:row>44</xdr:row>
          <xdr:rowOff>0</xdr:rowOff>
        </xdr:to>
        <xdr:sp macro="" textlink="">
          <xdr:nvSpPr>
            <xdr:cNvPr id="7215" name="Drop Down 47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142875</xdr:colOff>
          <xdr:row>1</xdr:row>
          <xdr:rowOff>47625</xdr:rowOff>
        </xdr:from>
        <xdr:to>
          <xdr:col>17</xdr:col>
          <xdr:colOff>114300</xdr:colOff>
          <xdr:row>2</xdr:row>
          <xdr:rowOff>28575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1</xdr:row>
          <xdr:rowOff>38100</xdr:rowOff>
        </xdr:from>
        <xdr:to>
          <xdr:col>15</xdr:col>
          <xdr:colOff>608134</xdr:colOff>
          <xdr:row>2</xdr:row>
          <xdr:rowOff>19050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5</xdr:row>
          <xdr:rowOff>9525</xdr:rowOff>
        </xdr:from>
        <xdr:to>
          <xdr:col>3</xdr:col>
          <xdr:colOff>933450</xdr:colOff>
          <xdr:row>6</xdr:row>
          <xdr:rowOff>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352425</xdr:colOff>
          <xdr:row>5</xdr:row>
          <xdr:rowOff>9525</xdr:rowOff>
        </xdr:from>
        <xdr:ext cx="581025" cy="180975"/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Reset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352425</xdr:colOff>
          <xdr:row>5</xdr:row>
          <xdr:rowOff>9525</xdr:rowOff>
        </xdr:from>
        <xdr:ext cx="581025" cy="180975"/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352425</xdr:colOff>
          <xdr:row>5</xdr:row>
          <xdr:rowOff>9525</xdr:rowOff>
        </xdr:from>
        <xdr:ext cx="581025" cy="180975"/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352425</xdr:colOff>
          <xdr:row>5</xdr:row>
          <xdr:rowOff>9525</xdr:rowOff>
        </xdr:from>
        <xdr:ext cx="581025" cy="180975"/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Latched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352425</xdr:colOff>
          <xdr:row>5</xdr:row>
          <xdr:rowOff>9525</xdr:rowOff>
        </xdr:from>
        <xdr:ext cx="581025" cy="180975"/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High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352425</xdr:colOff>
          <xdr:row>5</xdr:row>
          <xdr:rowOff>9525</xdr:rowOff>
        </xdr:from>
        <xdr:ext cx="581025" cy="180975"/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352425</xdr:colOff>
          <xdr:row>5</xdr:row>
          <xdr:rowOff>1242</xdr:rowOff>
        </xdr:from>
        <xdr:ext cx="581025" cy="180975"/>
        <xdr:sp macro="" textlink="">
          <xdr:nvSpPr>
            <xdr:cNvPr id="8213" name="Check Box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Low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249114</xdr:colOff>
          <xdr:row>18</xdr:row>
          <xdr:rowOff>4968</xdr:rowOff>
        </xdr:from>
        <xdr:to>
          <xdr:col>5</xdr:col>
          <xdr:colOff>1010862</xdr:colOff>
          <xdr:row>18</xdr:row>
          <xdr:rowOff>185943</xdr:rowOff>
        </xdr:to>
        <xdr:sp macro="" textlink="">
          <xdr:nvSpPr>
            <xdr:cNvPr id="8214" name="Drop Down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349945</xdr:colOff>
          <xdr:row>18</xdr:row>
          <xdr:rowOff>6210</xdr:rowOff>
        </xdr:from>
        <xdr:to>
          <xdr:col>7</xdr:col>
          <xdr:colOff>930970</xdr:colOff>
          <xdr:row>18</xdr:row>
          <xdr:rowOff>187185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349945</xdr:colOff>
          <xdr:row>18</xdr:row>
          <xdr:rowOff>6210</xdr:rowOff>
        </xdr:from>
        <xdr:to>
          <xdr:col>9</xdr:col>
          <xdr:colOff>930970</xdr:colOff>
          <xdr:row>18</xdr:row>
          <xdr:rowOff>187185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269819</xdr:colOff>
          <xdr:row>18</xdr:row>
          <xdr:rowOff>9525</xdr:rowOff>
        </xdr:from>
        <xdr:to>
          <xdr:col>8</xdr:col>
          <xdr:colOff>1031567</xdr:colOff>
          <xdr:row>19</xdr:row>
          <xdr:rowOff>0</xdr:rowOff>
        </xdr:to>
        <xdr:sp macro="" textlink="">
          <xdr:nvSpPr>
            <xdr:cNvPr id="8217" name="Drop Down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261536</xdr:colOff>
          <xdr:row>18</xdr:row>
          <xdr:rowOff>9525</xdr:rowOff>
        </xdr:from>
        <xdr:to>
          <xdr:col>10</xdr:col>
          <xdr:colOff>1023284</xdr:colOff>
          <xdr:row>19</xdr:row>
          <xdr:rowOff>0</xdr:rowOff>
        </xdr:to>
        <xdr:sp macro="" textlink="">
          <xdr:nvSpPr>
            <xdr:cNvPr id="8218" name="Drop Down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356982</xdr:colOff>
          <xdr:row>22</xdr:row>
          <xdr:rowOff>9525</xdr:rowOff>
        </xdr:from>
        <xdr:to>
          <xdr:col>3</xdr:col>
          <xdr:colOff>938007</xdr:colOff>
          <xdr:row>23</xdr:row>
          <xdr:rowOff>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Reboot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356982</xdr:colOff>
          <xdr:row>22</xdr:row>
          <xdr:rowOff>9525</xdr:rowOff>
        </xdr:from>
        <xdr:ext cx="581025" cy="180975"/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356982</xdr:colOff>
          <xdr:row>22</xdr:row>
          <xdr:rowOff>9525</xdr:rowOff>
        </xdr:from>
        <xdr:ext cx="581025" cy="180975"/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356982</xdr:colOff>
          <xdr:row>22</xdr:row>
          <xdr:rowOff>9525</xdr:rowOff>
        </xdr:from>
        <xdr:ext cx="581025" cy="180975"/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356982</xdr:colOff>
          <xdr:row>22</xdr:row>
          <xdr:rowOff>9525</xdr:rowOff>
        </xdr:from>
        <xdr:ext cx="581025" cy="180975"/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356982</xdr:colOff>
          <xdr:row>22</xdr:row>
          <xdr:rowOff>9525</xdr:rowOff>
        </xdr:from>
        <xdr:ext cx="581025" cy="180975"/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Reset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356982</xdr:colOff>
          <xdr:row>22</xdr:row>
          <xdr:rowOff>9525</xdr:rowOff>
        </xdr:from>
        <xdr:ext cx="581025" cy="180975"/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Acquire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229522</xdr:colOff>
          <xdr:row>26</xdr:row>
          <xdr:rowOff>4968</xdr:rowOff>
        </xdr:from>
        <xdr:to>
          <xdr:col>3</xdr:col>
          <xdr:colOff>1084386</xdr:colOff>
          <xdr:row>26</xdr:row>
          <xdr:rowOff>185943</xdr:rowOff>
        </xdr:to>
        <xdr:sp macro="" textlink="">
          <xdr:nvSpPr>
            <xdr:cNvPr id="8227" name="Drop Down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229522</xdr:colOff>
          <xdr:row>26</xdr:row>
          <xdr:rowOff>4968</xdr:rowOff>
        </xdr:from>
        <xdr:ext cx="854864" cy="180975"/>
        <xdr:sp macro="" textlink="">
          <xdr:nvSpPr>
            <xdr:cNvPr id="8228" name="Drop Down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688733</xdr:colOff>
          <xdr:row>26</xdr:row>
          <xdr:rowOff>4968</xdr:rowOff>
        </xdr:from>
        <xdr:ext cx="1216273" cy="180975"/>
        <xdr:sp macro="" textlink="">
          <xdr:nvSpPr>
            <xdr:cNvPr id="8229" name="Drop Down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356982</xdr:colOff>
          <xdr:row>26</xdr:row>
          <xdr:rowOff>9525</xdr:rowOff>
        </xdr:from>
        <xdr:ext cx="581025" cy="180975"/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356982</xdr:colOff>
          <xdr:row>26</xdr:row>
          <xdr:rowOff>9525</xdr:rowOff>
        </xdr:from>
        <xdr:ext cx="581025" cy="180975"/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356982</xdr:colOff>
          <xdr:row>26</xdr:row>
          <xdr:rowOff>9525</xdr:rowOff>
        </xdr:from>
        <xdr:ext cx="581025" cy="180975"/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356982</xdr:colOff>
          <xdr:row>26</xdr:row>
          <xdr:rowOff>9525</xdr:rowOff>
        </xdr:from>
        <xdr:ext cx="581025" cy="180975"/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18" Type="http://schemas.openxmlformats.org/officeDocument/2006/relationships/ctrlProp" Target="../ctrlProps/ctrlProp25.xml"/><Relationship Id="rId26" Type="http://schemas.openxmlformats.org/officeDocument/2006/relationships/ctrlProp" Target="../ctrlProps/ctrlProp3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8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25" Type="http://schemas.openxmlformats.org/officeDocument/2006/relationships/ctrlProp" Target="../ctrlProps/ctrlProp3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3.xml"/><Relationship Id="rId20" Type="http://schemas.openxmlformats.org/officeDocument/2006/relationships/ctrlProp" Target="../ctrlProps/ctrlProp27.xml"/><Relationship Id="rId29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24" Type="http://schemas.openxmlformats.org/officeDocument/2006/relationships/ctrlProp" Target="../ctrlProps/ctrlProp31.xml"/><Relationship Id="rId32" Type="http://schemas.openxmlformats.org/officeDocument/2006/relationships/ctrlProp" Target="../ctrlProps/ctrlProp39.xml"/><Relationship Id="rId5" Type="http://schemas.openxmlformats.org/officeDocument/2006/relationships/ctrlProp" Target="../ctrlProps/ctrlProp12.xml"/><Relationship Id="rId15" Type="http://schemas.openxmlformats.org/officeDocument/2006/relationships/ctrlProp" Target="../ctrlProps/ctrlProp22.xml"/><Relationship Id="rId23" Type="http://schemas.openxmlformats.org/officeDocument/2006/relationships/ctrlProp" Target="../ctrlProps/ctrlProp30.xml"/><Relationship Id="rId28" Type="http://schemas.openxmlformats.org/officeDocument/2006/relationships/ctrlProp" Target="../ctrlProps/ctrlProp35.xml"/><Relationship Id="rId10" Type="http://schemas.openxmlformats.org/officeDocument/2006/relationships/ctrlProp" Target="../ctrlProps/ctrlProp17.xml"/><Relationship Id="rId19" Type="http://schemas.openxmlformats.org/officeDocument/2006/relationships/ctrlProp" Target="../ctrlProps/ctrlProp26.xml"/><Relationship Id="rId31" Type="http://schemas.openxmlformats.org/officeDocument/2006/relationships/ctrlProp" Target="../ctrlProps/ctrlProp3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Relationship Id="rId22" Type="http://schemas.openxmlformats.org/officeDocument/2006/relationships/ctrlProp" Target="../ctrlProps/ctrlProp29.xml"/><Relationship Id="rId27" Type="http://schemas.openxmlformats.org/officeDocument/2006/relationships/ctrlProp" Target="../ctrlProps/ctrlProp34.xml"/><Relationship Id="rId30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95"/>
  <sheetViews>
    <sheetView zoomScaleNormal="100" workbookViewId="0">
      <pane ySplit="3" topLeftCell="A31" activePane="bottomLeft" state="frozen"/>
      <selection pane="bottomLeft" activeCell="H43" sqref="H43:H45"/>
    </sheetView>
  </sheetViews>
  <sheetFormatPr defaultRowHeight="15" x14ac:dyDescent="0.25"/>
  <cols>
    <col min="1" max="1" width="1.7109375" customWidth="1"/>
    <col min="2" max="2" width="20" customWidth="1"/>
    <col min="3" max="3" width="11.140625" customWidth="1"/>
    <col min="4" max="11" width="19.42578125" customWidth="1"/>
    <col min="12" max="12" width="0.28515625" customWidth="1"/>
    <col min="13" max="13" width="17.7109375" customWidth="1"/>
    <col min="14" max="14" width="0.28515625" customWidth="1"/>
  </cols>
  <sheetData>
    <row r="1" spans="2:15" ht="9" customHeight="1" thickBot="1" x14ac:dyDescent="0.3"/>
    <row r="2" spans="2:15" ht="15.75" customHeight="1" thickTop="1" x14ac:dyDescent="0.25">
      <c r="B2" s="173" t="s">
        <v>0</v>
      </c>
      <c r="C2" s="177" t="s">
        <v>0</v>
      </c>
      <c r="D2" s="175" t="s">
        <v>1</v>
      </c>
      <c r="E2" s="175"/>
      <c r="F2" s="175"/>
      <c r="G2" s="175"/>
      <c r="H2" s="175"/>
      <c r="I2" s="175"/>
      <c r="J2" s="175"/>
      <c r="K2" s="176"/>
      <c r="L2" s="20"/>
      <c r="M2" s="156" t="s">
        <v>27</v>
      </c>
      <c r="N2" s="20"/>
      <c r="O2" s="78"/>
    </row>
    <row r="3" spans="2:15" ht="15.75" thickBot="1" x14ac:dyDescent="0.3">
      <c r="B3" s="174"/>
      <c r="C3" s="178"/>
      <c r="D3" s="4" t="s">
        <v>2</v>
      </c>
      <c r="E3" s="5" t="s">
        <v>3</v>
      </c>
      <c r="F3" s="5" t="s">
        <v>4</v>
      </c>
      <c r="G3" s="5" t="s">
        <v>5</v>
      </c>
      <c r="H3" s="5" t="s">
        <v>6</v>
      </c>
      <c r="I3" s="5" t="s">
        <v>7</v>
      </c>
      <c r="J3" s="5" t="s">
        <v>8</v>
      </c>
      <c r="K3" s="21" t="s">
        <v>9</v>
      </c>
      <c r="L3" s="22"/>
      <c r="M3" s="157"/>
      <c r="N3" s="22"/>
      <c r="O3" s="78"/>
    </row>
    <row r="4" spans="2:15" x14ac:dyDescent="0.25">
      <c r="B4" s="141" t="s">
        <v>23</v>
      </c>
      <c r="C4" s="143" t="s">
        <v>106</v>
      </c>
      <c r="D4" s="179" t="s">
        <v>16</v>
      </c>
      <c r="E4" s="180"/>
      <c r="F4" s="180"/>
      <c r="G4" s="180"/>
      <c r="H4" s="180"/>
      <c r="I4" s="180"/>
      <c r="J4" s="180"/>
      <c r="K4" s="181"/>
      <c r="L4" s="1"/>
      <c r="M4" s="152" t="s">
        <v>10</v>
      </c>
      <c r="N4" s="1"/>
      <c r="O4" s="78"/>
    </row>
    <row r="5" spans="2:15" ht="15.75" thickBot="1" x14ac:dyDescent="0.3">
      <c r="B5" s="169"/>
      <c r="C5" s="144"/>
      <c r="D5" s="164">
        <f>IF(AND(NOT(ISBLANK($M$4)),NOT(ISBLANK($M$6))),
HEX2DEC($M$4)+HEX2DEC($M$6)*POWER(2,8)/POWER(2,16)*165-40,
"no data")</f>
        <v>25.09765625</v>
      </c>
      <c r="E5" s="165"/>
      <c r="F5" s="165"/>
      <c r="G5" s="165"/>
      <c r="H5" s="165"/>
      <c r="I5" s="165"/>
      <c r="J5" s="165"/>
      <c r="K5" s="166"/>
      <c r="L5" s="23"/>
      <c r="M5" s="154"/>
      <c r="N5" s="23"/>
      <c r="O5" s="78"/>
    </row>
    <row r="6" spans="2:15" ht="15" customHeight="1" x14ac:dyDescent="0.25">
      <c r="B6" s="169" t="s">
        <v>24</v>
      </c>
      <c r="C6" s="142" t="s">
        <v>107</v>
      </c>
      <c r="D6" s="158" t="s">
        <v>17</v>
      </c>
      <c r="E6" s="159"/>
      <c r="F6" s="159"/>
      <c r="G6" s="159"/>
      <c r="H6" s="159"/>
      <c r="I6" s="159"/>
      <c r="J6" s="159"/>
      <c r="K6" s="160"/>
      <c r="L6" s="1"/>
      <c r="M6" s="152" t="s">
        <v>28</v>
      </c>
      <c r="N6" s="1"/>
      <c r="O6" s="78"/>
    </row>
    <row r="7" spans="2:15" ht="15.75" thickBot="1" x14ac:dyDescent="0.3">
      <c r="B7" s="169"/>
      <c r="C7" s="144"/>
      <c r="D7" s="164">
        <f>IF(AND(NOT(ISBLANK($M$4)),NOT(ISBLANK($M$6))),
HEX2DEC($M$4)+HEX2DEC($M$6)*POWER(2,8)/POWER(2,16)*165-40,
"no data")</f>
        <v>25.09765625</v>
      </c>
      <c r="E7" s="165"/>
      <c r="F7" s="165"/>
      <c r="G7" s="165"/>
      <c r="H7" s="165"/>
      <c r="I7" s="165"/>
      <c r="J7" s="165"/>
      <c r="K7" s="166"/>
      <c r="L7" s="23"/>
      <c r="M7" s="154"/>
      <c r="N7" s="23"/>
      <c r="O7" s="78"/>
    </row>
    <row r="8" spans="2:15" x14ac:dyDescent="0.25">
      <c r="B8" s="169" t="s">
        <v>25</v>
      </c>
      <c r="C8" s="142" t="s">
        <v>108</v>
      </c>
      <c r="D8" s="158" t="s">
        <v>19</v>
      </c>
      <c r="E8" s="159"/>
      <c r="F8" s="159"/>
      <c r="G8" s="159"/>
      <c r="H8" s="159"/>
      <c r="I8" s="159"/>
      <c r="J8" s="159"/>
      <c r="K8" s="160"/>
      <c r="L8" s="1"/>
      <c r="M8" s="152" t="s">
        <v>10</v>
      </c>
      <c r="N8" s="1"/>
      <c r="O8" s="78"/>
    </row>
    <row r="9" spans="2:15" ht="15.75" thickBot="1" x14ac:dyDescent="0.3">
      <c r="B9" s="169"/>
      <c r="C9" s="144"/>
      <c r="D9" s="161">
        <f>IF(AND(NOT(ISBLANK($M$8)),NOT(ISBLANK($M$10))),
HEX2DEC($M$8)+HEX2DEC($M$10)*POWER(2,8)/POWER(2,16),
"no data")</f>
        <v>0.75</v>
      </c>
      <c r="E9" s="162"/>
      <c r="F9" s="162"/>
      <c r="G9" s="162"/>
      <c r="H9" s="162"/>
      <c r="I9" s="162"/>
      <c r="J9" s="162"/>
      <c r="K9" s="163"/>
      <c r="L9" s="23"/>
      <c r="M9" s="154"/>
      <c r="N9" s="23"/>
      <c r="O9" s="78"/>
    </row>
    <row r="10" spans="2:15" x14ac:dyDescent="0.25">
      <c r="B10" s="169" t="s">
        <v>26</v>
      </c>
      <c r="C10" s="142" t="s">
        <v>109</v>
      </c>
      <c r="D10" s="158" t="s">
        <v>20</v>
      </c>
      <c r="E10" s="159"/>
      <c r="F10" s="159"/>
      <c r="G10" s="159"/>
      <c r="H10" s="159"/>
      <c r="I10" s="159"/>
      <c r="J10" s="159"/>
      <c r="K10" s="160"/>
      <c r="L10" s="1"/>
      <c r="M10" s="152" t="s">
        <v>21</v>
      </c>
      <c r="N10" s="1"/>
      <c r="O10" s="78"/>
    </row>
    <row r="11" spans="2:15" ht="15.75" thickBot="1" x14ac:dyDescent="0.3">
      <c r="B11" s="169"/>
      <c r="C11" s="144"/>
      <c r="D11" s="170">
        <f>IF(AND(NOT(ISBLANK($M$8)),NOT(ISBLANK($M$10))),
HEX2DEC($M$8)+HEX2DEC($M$10)*POWER(2,8)/POWER(2,16),
"no data")</f>
        <v>0.75</v>
      </c>
      <c r="E11" s="171"/>
      <c r="F11" s="171"/>
      <c r="G11" s="171"/>
      <c r="H11" s="171"/>
      <c r="I11" s="171"/>
      <c r="J11" s="171"/>
      <c r="K11" s="172"/>
      <c r="L11" s="26"/>
      <c r="M11" s="154"/>
      <c r="N11" s="26"/>
      <c r="O11" s="78"/>
    </row>
    <row r="12" spans="2:15" x14ac:dyDescent="0.25">
      <c r="B12" s="136" t="s">
        <v>22</v>
      </c>
      <c r="C12" s="167" t="s">
        <v>110</v>
      </c>
      <c r="D12" s="40" t="s">
        <v>29</v>
      </c>
      <c r="E12" s="41" t="s">
        <v>30</v>
      </c>
      <c r="F12" s="41" t="s">
        <v>31</v>
      </c>
      <c r="G12" s="41" t="s">
        <v>32</v>
      </c>
      <c r="H12" s="41" t="s">
        <v>33</v>
      </c>
      <c r="I12" s="125" t="s">
        <v>11</v>
      </c>
      <c r="J12" s="125"/>
      <c r="K12" s="126"/>
      <c r="L12" s="1"/>
      <c r="M12" s="152" t="s">
        <v>10</v>
      </c>
      <c r="N12" s="1"/>
      <c r="O12" s="78"/>
    </row>
    <row r="13" spans="2:15" x14ac:dyDescent="0.25">
      <c r="B13" s="136"/>
      <c r="C13" s="167"/>
      <c r="D13" s="29" t="s">
        <v>34</v>
      </c>
      <c r="E13" s="28" t="s">
        <v>35</v>
      </c>
      <c r="F13" s="28" t="s">
        <v>36</v>
      </c>
      <c r="G13" s="28" t="s">
        <v>37</v>
      </c>
      <c r="H13" s="28" t="s">
        <v>38</v>
      </c>
      <c r="I13" s="125"/>
      <c r="J13" s="125"/>
      <c r="K13" s="126"/>
      <c r="L13" s="1"/>
      <c r="M13" s="153"/>
      <c r="N13" s="1"/>
      <c r="O13" s="78"/>
    </row>
    <row r="14" spans="2:15" ht="15.75" thickBot="1" x14ac:dyDescent="0.3">
      <c r="B14" s="137"/>
      <c r="C14" s="168"/>
      <c r="D14" s="30" t="str">
        <f>INDEX(D50:D51,D49+1)</f>
        <v>Data not ready</v>
      </c>
      <c r="E14" s="27" t="str">
        <f t="shared" ref="E14:H14" si="0">INDEX(E50:E51,E49+1)</f>
        <v>No Interrupt</v>
      </c>
      <c r="F14" s="27" t="str">
        <f t="shared" si="0"/>
        <v>No Interrupt</v>
      </c>
      <c r="G14" s="27" t="str">
        <f t="shared" si="0"/>
        <v>No Interrupt</v>
      </c>
      <c r="H14" s="27" t="str">
        <f t="shared" si="0"/>
        <v>No Interrupt</v>
      </c>
      <c r="I14" s="127" t="s">
        <v>13</v>
      </c>
      <c r="J14" s="128"/>
      <c r="K14" s="129"/>
      <c r="L14" s="24"/>
      <c r="M14" s="154"/>
      <c r="N14" s="24"/>
      <c r="O14" s="78"/>
    </row>
    <row r="15" spans="2:15" x14ac:dyDescent="0.25">
      <c r="B15" s="136" t="s">
        <v>46</v>
      </c>
      <c r="C15" s="131" t="s">
        <v>111</v>
      </c>
      <c r="D15" s="96" t="s">
        <v>71</v>
      </c>
      <c r="E15" s="97"/>
      <c r="F15" s="97"/>
      <c r="G15" s="97"/>
      <c r="H15" s="97"/>
      <c r="I15" s="97"/>
      <c r="J15" s="97"/>
      <c r="K15" s="98"/>
      <c r="L15" s="1"/>
      <c r="M15" s="152" t="s">
        <v>18</v>
      </c>
      <c r="N15" s="1"/>
      <c r="O15" s="78"/>
    </row>
    <row r="16" spans="2:15" ht="15.75" thickBot="1" x14ac:dyDescent="0.3">
      <c r="B16" s="137"/>
      <c r="C16" s="138"/>
      <c r="D16" s="149">
        <f>HEX2DEC(M15)/POWER(2,8)*165-40</f>
        <v>124.35546875</v>
      </c>
      <c r="E16" s="150"/>
      <c r="F16" s="150"/>
      <c r="G16" s="150"/>
      <c r="H16" s="150"/>
      <c r="I16" s="150"/>
      <c r="J16" s="150"/>
      <c r="K16" s="151"/>
      <c r="L16" s="24"/>
      <c r="M16" s="154"/>
      <c r="N16" s="24"/>
      <c r="O16" s="78"/>
    </row>
    <row r="17" spans="2:15" x14ac:dyDescent="0.25">
      <c r="B17" s="136" t="s">
        <v>47</v>
      </c>
      <c r="C17" s="130" t="s">
        <v>112</v>
      </c>
      <c r="D17" s="96" t="s">
        <v>72</v>
      </c>
      <c r="E17" s="97"/>
      <c r="F17" s="97"/>
      <c r="G17" s="97"/>
      <c r="H17" s="97"/>
      <c r="I17" s="97"/>
      <c r="J17" s="97"/>
      <c r="K17" s="98"/>
      <c r="L17" s="1"/>
      <c r="M17" s="152" t="s">
        <v>77</v>
      </c>
      <c r="N17" s="1"/>
      <c r="O17" s="78"/>
    </row>
    <row r="18" spans="2:15" ht="15.75" thickBot="1" x14ac:dyDescent="0.3">
      <c r="B18" s="137"/>
      <c r="C18" s="138"/>
      <c r="D18" s="120">
        <f>HEX2DEC(M17)/POWER(2,8)</f>
        <v>0.8125</v>
      </c>
      <c r="E18" s="121"/>
      <c r="F18" s="121"/>
      <c r="G18" s="121"/>
      <c r="H18" s="121"/>
      <c r="I18" s="121"/>
      <c r="J18" s="121"/>
      <c r="K18" s="122"/>
      <c r="L18" s="24"/>
      <c r="M18" s="154"/>
      <c r="N18" s="24"/>
      <c r="O18" s="78"/>
    </row>
    <row r="19" spans="2:15" x14ac:dyDescent="0.25">
      <c r="B19" s="136" t="s">
        <v>48</v>
      </c>
      <c r="C19" s="131" t="s">
        <v>113</v>
      </c>
      <c r="D19" s="40" t="s">
        <v>49</v>
      </c>
      <c r="E19" s="41" t="s">
        <v>55</v>
      </c>
      <c r="F19" s="41" t="s">
        <v>56</v>
      </c>
      <c r="G19" s="41" t="s">
        <v>57</v>
      </c>
      <c r="H19" s="41" t="s">
        <v>58</v>
      </c>
      <c r="I19" s="123" t="s">
        <v>11</v>
      </c>
      <c r="J19" s="123"/>
      <c r="K19" s="124"/>
      <c r="L19" s="1"/>
      <c r="M19" s="152" t="s">
        <v>60</v>
      </c>
      <c r="N19" s="1"/>
      <c r="O19" s="78"/>
    </row>
    <row r="20" spans="2:15" x14ac:dyDescent="0.25">
      <c r="B20" s="136"/>
      <c r="C20" s="131"/>
      <c r="D20" s="29" t="s">
        <v>50</v>
      </c>
      <c r="E20" s="28" t="s">
        <v>51</v>
      </c>
      <c r="F20" s="28" t="s">
        <v>52</v>
      </c>
      <c r="G20" s="28" t="s">
        <v>53</v>
      </c>
      <c r="H20" s="28" t="s">
        <v>54</v>
      </c>
      <c r="I20" s="125"/>
      <c r="J20" s="125"/>
      <c r="K20" s="126"/>
      <c r="L20" s="1"/>
      <c r="M20" s="155"/>
      <c r="N20" s="1"/>
      <c r="O20" s="78"/>
    </row>
    <row r="21" spans="2:15" ht="15.75" thickBot="1" x14ac:dyDescent="0.3">
      <c r="B21" s="137"/>
      <c r="C21" s="138"/>
      <c r="D21" s="30" t="str">
        <f>INDEX(D55:D56,D54+1)</f>
        <v>Disabled</v>
      </c>
      <c r="E21" s="27" t="str">
        <f t="shared" ref="E21:H21" si="1">INDEX(E55:E56,E54+1)</f>
        <v>Disabled</v>
      </c>
      <c r="F21" s="27" t="str">
        <f t="shared" si="1"/>
        <v>Disabled</v>
      </c>
      <c r="G21" s="27" t="str">
        <f t="shared" si="1"/>
        <v>Disabled</v>
      </c>
      <c r="H21" s="27" t="str">
        <f t="shared" si="1"/>
        <v>Disabled</v>
      </c>
      <c r="I21" s="127" t="s">
        <v>13</v>
      </c>
      <c r="J21" s="128"/>
      <c r="K21" s="129"/>
      <c r="L21" s="24"/>
      <c r="M21" s="154"/>
      <c r="N21" s="24"/>
      <c r="O21" s="78"/>
    </row>
    <row r="22" spans="2:15" ht="15.75" thickBot="1" x14ac:dyDescent="0.3">
      <c r="B22" s="139" t="s">
        <v>61</v>
      </c>
      <c r="C22" s="142" t="s">
        <v>114</v>
      </c>
      <c r="D22" s="96" t="s">
        <v>62</v>
      </c>
      <c r="E22" s="97"/>
      <c r="F22" s="97"/>
      <c r="G22" s="97"/>
      <c r="H22" s="97"/>
      <c r="I22" s="97"/>
      <c r="J22" s="97"/>
      <c r="K22" s="98"/>
      <c r="L22" s="1"/>
      <c r="M22" s="134" t="str">
        <f>D24</f>
        <v>0x75</v>
      </c>
      <c r="N22" s="1"/>
      <c r="O22" s="78"/>
    </row>
    <row r="23" spans="2:15" ht="15.75" thickBot="1" x14ac:dyDescent="0.3">
      <c r="B23" s="140"/>
      <c r="C23" s="143"/>
      <c r="D23" s="99"/>
      <c r="E23" s="100"/>
      <c r="F23" s="100"/>
      <c r="G23" s="74">
        <v>19</v>
      </c>
      <c r="H23" s="101" t="str">
        <f>"(Actual Offset = "&amp;C61&amp;"°C)"</f>
        <v>(Actual Offset = 18.86°C)</v>
      </c>
      <c r="I23" s="101"/>
      <c r="J23" s="101"/>
      <c r="K23" s="102"/>
      <c r="L23" s="1"/>
      <c r="M23" s="134"/>
      <c r="N23" s="1"/>
      <c r="O23" s="78"/>
    </row>
    <row r="24" spans="2:15" x14ac:dyDescent="0.25">
      <c r="B24" s="141"/>
      <c r="C24" s="144"/>
      <c r="D24" s="103" t="str">
        <f>"0x"&amp;C59</f>
        <v>0x75</v>
      </c>
      <c r="E24" s="104"/>
      <c r="F24" s="104"/>
      <c r="G24" s="104"/>
      <c r="H24" s="104"/>
      <c r="I24" s="104"/>
      <c r="J24" s="104"/>
      <c r="K24" s="105"/>
      <c r="L24" s="24"/>
      <c r="M24" s="133"/>
      <c r="N24" s="24"/>
      <c r="O24" s="78"/>
    </row>
    <row r="25" spans="2:15" ht="15.75" thickBot="1" x14ac:dyDescent="0.3">
      <c r="B25" s="136" t="s">
        <v>66</v>
      </c>
      <c r="C25" s="131" t="s">
        <v>115</v>
      </c>
      <c r="D25" s="96" t="s">
        <v>155</v>
      </c>
      <c r="E25" s="97"/>
      <c r="F25" s="97"/>
      <c r="G25" s="97"/>
      <c r="H25" s="97"/>
      <c r="I25" s="97"/>
      <c r="J25" s="97"/>
      <c r="K25" s="98"/>
      <c r="L25" s="1"/>
      <c r="M25" s="134" t="str">
        <f>D27</f>
        <v>0x7E</v>
      </c>
      <c r="N25" s="1"/>
      <c r="O25" s="78"/>
    </row>
    <row r="26" spans="2:15" ht="15.75" thickBot="1" x14ac:dyDescent="0.3">
      <c r="B26" s="136"/>
      <c r="C26" s="131"/>
      <c r="D26" s="99"/>
      <c r="E26" s="100"/>
      <c r="F26" s="100"/>
      <c r="G26" s="75">
        <v>0.248</v>
      </c>
      <c r="H26" s="101" t="str">
        <f>"(Actual Offset = "&amp;100*C66&amp;"%)"</f>
        <v>(Actual Offset = 24.7%)</v>
      </c>
      <c r="I26" s="101"/>
      <c r="J26" s="101"/>
      <c r="K26" s="102"/>
      <c r="L26" s="1"/>
      <c r="M26" s="134"/>
      <c r="N26" s="1"/>
      <c r="O26" s="78"/>
    </row>
    <row r="27" spans="2:15" x14ac:dyDescent="0.25">
      <c r="B27" s="137"/>
      <c r="C27" s="138"/>
      <c r="D27" s="103" t="str">
        <f>"0x"&amp;C64</f>
        <v>0x7E</v>
      </c>
      <c r="E27" s="104"/>
      <c r="F27" s="104"/>
      <c r="G27" s="104"/>
      <c r="H27" s="104"/>
      <c r="I27" s="104"/>
      <c r="J27" s="104"/>
      <c r="K27" s="105"/>
      <c r="L27" s="24"/>
      <c r="M27" s="133"/>
      <c r="N27" s="24"/>
      <c r="O27" s="78"/>
    </row>
    <row r="28" spans="2:15" ht="15.75" thickBot="1" x14ac:dyDescent="0.3">
      <c r="B28" s="136" t="s">
        <v>67</v>
      </c>
      <c r="C28" s="130" t="s">
        <v>116</v>
      </c>
      <c r="D28" s="96" t="s">
        <v>74</v>
      </c>
      <c r="E28" s="97"/>
      <c r="F28" s="97"/>
      <c r="G28" s="97"/>
      <c r="H28" s="97"/>
      <c r="I28" s="97"/>
      <c r="J28" s="97"/>
      <c r="K28" s="98"/>
      <c r="L28" s="1"/>
      <c r="M28" s="134" t="str">
        <f>D30</f>
        <v>0xF8</v>
      </c>
      <c r="N28" s="1"/>
      <c r="O28" s="78"/>
    </row>
    <row r="29" spans="2:15" ht="15.75" thickBot="1" x14ac:dyDescent="0.3">
      <c r="B29" s="136"/>
      <c r="C29" s="131"/>
      <c r="D29" s="99"/>
      <c r="E29" s="100"/>
      <c r="F29" s="100"/>
      <c r="G29" s="76">
        <v>120</v>
      </c>
      <c r="H29" s="106" t="str">
        <f>"(Actual Offset = "&amp;ROUND(HEX2DEC(RIGHT(D30,2))/POWER(2,8)*165-40,2)&amp;"°C)"</f>
        <v>(Actual Offset = 119.84°C)</v>
      </c>
      <c r="I29" s="106"/>
      <c r="J29" s="106"/>
      <c r="K29" s="107"/>
      <c r="L29" s="1"/>
      <c r="M29" s="134"/>
      <c r="N29" s="1"/>
      <c r="O29" s="78"/>
    </row>
    <row r="30" spans="2:15" x14ac:dyDescent="0.25">
      <c r="B30" s="137"/>
      <c r="C30" s="138"/>
      <c r="D30" s="103" t="str">
        <f>"0x"&amp;DEC2HEX(FLOOR((G29+40)/165*POWER(2,8),1),2)</f>
        <v>0xF8</v>
      </c>
      <c r="E30" s="104"/>
      <c r="F30" s="104"/>
      <c r="G30" s="104"/>
      <c r="H30" s="104"/>
      <c r="I30" s="104"/>
      <c r="J30" s="104"/>
      <c r="K30" s="105"/>
      <c r="L30" s="24"/>
      <c r="M30" s="133"/>
      <c r="N30" s="24"/>
      <c r="O30" s="78"/>
    </row>
    <row r="31" spans="2:15" ht="15.75" thickBot="1" x14ac:dyDescent="0.3">
      <c r="B31" s="136" t="s">
        <v>68</v>
      </c>
      <c r="C31" s="131" t="s">
        <v>117</v>
      </c>
      <c r="D31" s="96" t="s">
        <v>73</v>
      </c>
      <c r="E31" s="97"/>
      <c r="F31" s="97"/>
      <c r="G31" s="97"/>
      <c r="H31" s="97"/>
      <c r="I31" s="97"/>
      <c r="J31" s="97"/>
      <c r="K31" s="98"/>
      <c r="L31" s="1"/>
      <c r="M31" s="134" t="str">
        <f>D33</f>
        <v>0x1F</v>
      </c>
      <c r="N31" s="1"/>
      <c r="O31" s="78"/>
    </row>
    <row r="32" spans="2:15" ht="15.75" thickBot="1" x14ac:dyDescent="0.3">
      <c r="B32" s="136"/>
      <c r="C32" s="131"/>
      <c r="D32" s="99"/>
      <c r="E32" s="100"/>
      <c r="F32" s="100"/>
      <c r="G32" s="76">
        <v>-20</v>
      </c>
      <c r="H32" s="106" t="str">
        <f>"(Actual Offset = "&amp;ROUND(HEX2DEC(RIGHT(D33,2))/POWER(2,8)*165-40,2)&amp;"°C)"</f>
        <v>(Actual Offset = -20.02°C)</v>
      </c>
      <c r="I32" s="106"/>
      <c r="J32" s="106"/>
      <c r="K32" s="107"/>
      <c r="L32" s="1"/>
      <c r="M32" s="134"/>
      <c r="N32" s="1"/>
      <c r="O32" s="78"/>
    </row>
    <row r="33" spans="2:15" x14ac:dyDescent="0.25">
      <c r="B33" s="137"/>
      <c r="C33" s="138"/>
      <c r="D33" s="103" t="str">
        <f>"0x"&amp;DEC2HEX(FLOOR((G32+40)/165*POWER(2,8),1),2)</f>
        <v>0x1F</v>
      </c>
      <c r="E33" s="104"/>
      <c r="F33" s="104"/>
      <c r="G33" s="104"/>
      <c r="H33" s="104"/>
      <c r="I33" s="104"/>
      <c r="J33" s="104"/>
      <c r="K33" s="105"/>
      <c r="L33" s="24"/>
      <c r="M33" s="133"/>
      <c r="N33" s="24"/>
      <c r="O33" s="78"/>
    </row>
    <row r="34" spans="2:15" ht="15.75" thickBot="1" x14ac:dyDescent="0.3">
      <c r="B34" s="136" t="s">
        <v>69</v>
      </c>
      <c r="C34" s="130" t="s">
        <v>118</v>
      </c>
      <c r="D34" s="96" t="s">
        <v>75</v>
      </c>
      <c r="E34" s="97"/>
      <c r="F34" s="97"/>
      <c r="G34" s="97"/>
      <c r="H34" s="97"/>
      <c r="I34" s="97"/>
      <c r="J34" s="97"/>
      <c r="K34" s="98"/>
      <c r="L34" s="1"/>
      <c r="M34" s="134" t="str">
        <f>D36</f>
        <v>0xF3</v>
      </c>
      <c r="N34" s="1"/>
      <c r="O34" s="78"/>
    </row>
    <row r="35" spans="2:15" ht="15.75" thickBot="1" x14ac:dyDescent="0.3">
      <c r="B35" s="136"/>
      <c r="C35" s="131"/>
      <c r="D35" s="99"/>
      <c r="E35" s="100"/>
      <c r="F35" s="100"/>
      <c r="G35" s="77">
        <v>0.95</v>
      </c>
      <c r="H35" s="106" t="str">
        <f>"(Actual Offset = "&amp;ROUND(HEX2DEC(RIGHT(D36,2))/POWER(2,8)*100,2)&amp;"%)"</f>
        <v>(Actual Offset = 94.92%)</v>
      </c>
      <c r="I35" s="106"/>
      <c r="J35" s="106"/>
      <c r="K35" s="107"/>
      <c r="L35" s="1"/>
      <c r="M35" s="134"/>
      <c r="N35" s="1"/>
      <c r="O35" s="78"/>
    </row>
    <row r="36" spans="2:15" x14ac:dyDescent="0.25">
      <c r="B36" s="137"/>
      <c r="C36" s="138"/>
      <c r="D36" s="114" t="str">
        <f>"0x"&amp;DEC2HEX(FLOOR(G35*POWER(2,8),1),2)</f>
        <v>0xF3</v>
      </c>
      <c r="E36" s="115"/>
      <c r="F36" s="115"/>
      <c r="G36" s="115"/>
      <c r="H36" s="115"/>
      <c r="I36" s="115"/>
      <c r="J36" s="115"/>
      <c r="K36" s="116"/>
      <c r="L36" s="24"/>
      <c r="M36" s="133"/>
      <c r="N36" s="24"/>
      <c r="O36" s="78"/>
    </row>
    <row r="37" spans="2:15" ht="15.75" thickBot="1" x14ac:dyDescent="0.3">
      <c r="B37" s="136" t="s">
        <v>70</v>
      </c>
      <c r="C37" s="131" t="s">
        <v>119</v>
      </c>
      <c r="D37" s="96" t="s">
        <v>76</v>
      </c>
      <c r="E37" s="97"/>
      <c r="F37" s="97"/>
      <c r="G37" s="97"/>
      <c r="H37" s="97"/>
      <c r="I37" s="97"/>
      <c r="J37" s="97"/>
      <c r="K37" s="98"/>
      <c r="L37" s="1"/>
      <c r="M37" s="134" t="str">
        <f>D39</f>
        <v>0x19</v>
      </c>
      <c r="N37" s="1"/>
      <c r="O37" s="78"/>
    </row>
    <row r="38" spans="2:15" ht="15.75" thickBot="1" x14ac:dyDescent="0.3">
      <c r="B38" s="136"/>
      <c r="C38" s="131"/>
      <c r="D38" s="99"/>
      <c r="E38" s="100"/>
      <c r="F38" s="100"/>
      <c r="G38" s="77">
        <v>0.1</v>
      </c>
      <c r="H38" s="106" t="str">
        <f>"(Actual Offset = "&amp;ROUND(HEX2DEC(RIGHT(D39,2))/POWER(2,8)*100,2)&amp;"%)"</f>
        <v>(Actual Offset = 9.77%)</v>
      </c>
      <c r="I38" s="106"/>
      <c r="J38" s="106"/>
      <c r="K38" s="107"/>
      <c r="L38" s="1"/>
      <c r="M38" s="134"/>
      <c r="N38" s="1"/>
      <c r="O38" s="78"/>
    </row>
    <row r="39" spans="2:15" x14ac:dyDescent="0.25">
      <c r="B39" s="137"/>
      <c r="C39" s="138"/>
      <c r="D39" s="114" t="str">
        <f>"0x"&amp;DEC2HEX(FLOOR(G38*POWER(2,8),1),2)</f>
        <v>0x19</v>
      </c>
      <c r="E39" s="115"/>
      <c r="F39" s="115"/>
      <c r="G39" s="115"/>
      <c r="H39" s="115"/>
      <c r="I39" s="115"/>
      <c r="J39" s="115"/>
      <c r="K39" s="116"/>
      <c r="L39" s="24"/>
      <c r="M39" s="133"/>
      <c r="N39" s="24"/>
      <c r="O39" s="78"/>
    </row>
    <row r="40" spans="2:15" x14ac:dyDescent="0.25">
      <c r="B40" s="139" t="s">
        <v>78</v>
      </c>
      <c r="C40" s="142" t="s">
        <v>120</v>
      </c>
      <c r="D40" s="40" t="s">
        <v>79</v>
      </c>
      <c r="E40" s="117" t="s">
        <v>80</v>
      </c>
      <c r="F40" s="117"/>
      <c r="G40" s="117"/>
      <c r="H40" s="57" t="s">
        <v>81</v>
      </c>
      <c r="I40" s="57" t="s">
        <v>45</v>
      </c>
      <c r="J40" s="57" t="s">
        <v>90</v>
      </c>
      <c r="K40" s="58" t="s">
        <v>91</v>
      </c>
      <c r="L40" s="1"/>
      <c r="M40" s="145" t="str">
        <f>"0x"&amp;BIN2HEX(CONCATENATE(D42,E42,H42,I42,J42,K42),2)</f>
        <v>0x01</v>
      </c>
      <c r="N40" s="1"/>
      <c r="O40" s="78"/>
    </row>
    <row r="41" spans="2:15" x14ac:dyDescent="0.25">
      <c r="B41" s="140"/>
      <c r="C41" s="143"/>
      <c r="D41" s="59"/>
      <c r="E41" s="83"/>
      <c r="F41" s="83"/>
      <c r="G41" s="83"/>
      <c r="H41" s="60"/>
      <c r="I41" s="60"/>
      <c r="J41" s="60"/>
      <c r="K41" s="61"/>
      <c r="L41" s="1"/>
      <c r="M41" s="146"/>
      <c r="N41" s="1"/>
      <c r="O41" s="78"/>
    </row>
    <row r="42" spans="2:15" x14ac:dyDescent="0.25">
      <c r="B42" s="141"/>
      <c r="C42" s="144"/>
      <c r="D42" s="30">
        <f>IF(D69,1,0)</f>
        <v>0</v>
      </c>
      <c r="E42" s="118" t="str">
        <f>DEC2BIN(E77-1,3)</f>
        <v>000</v>
      </c>
      <c r="F42" s="118"/>
      <c r="G42" s="119"/>
      <c r="H42" s="27">
        <f>IF(H69,1,0)</f>
        <v>0</v>
      </c>
      <c r="I42" s="27">
        <f>IF(I69,1,0)</f>
        <v>0</v>
      </c>
      <c r="J42" s="27">
        <f>J71-1</f>
        <v>0</v>
      </c>
      <c r="K42" s="66">
        <f>K71-1</f>
        <v>1</v>
      </c>
      <c r="L42" s="24"/>
      <c r="M42" s="134"/>
      <c r="N42" s="24"/>
      <c r="O42" s="78"/>
    </row>
    <row r="43" spans="2:15" x14ac:dyDescent="0.25">
      <c r="B43" s="147" t="s">
        <v>98</v>
      </c>
      <c r="C43" s="130" t="s">
        <v>121</v>
      </c>
      <c r="D43" s="90" t="s">
        <v>96</v>
      </c>
      <c r="E43" s="91"/>
      <c r="F43" s="86" t="s">
        <v>97</v>
      </c>
      <c r="G43" s="86"/>
      <c r="H43" s="92" t="s">
        <v>11</v>
      </c>
      <c r="I43" s="86" t="s">
        <v>98</v>
      </c>
      <c r="J43" s="86"/>
      <c r="K43" s="58" t="s">
        <v>95</v>
      </c>
      <c r="L43" s="35"/>
      <c r="M43" s="133" t="str">
        <f>"0x"&amp;BIN2HEX(CONCATENATE(D45,F45,H45,I45,K45),2)</f>
        <v>0x00</v>
      </c>
      <c r="N43" s="35"/>
      <c r="O43" s="78"/>
    </row>
    <row r="44" spans="2:15" x14ac:dyDescent="0.25">
      <c r="B44" s="136"/>
      <c r="C44" s="131"/>
      <c r="D44" s="89"/>
      <c r="E44" s="85"/>
      <c r="F44" s="85"/>
      <c r="G44" s="85"/>
      <c r="H44" s="93"/>
      <c r="I44" s="85"/>
      <c r="J44" s="85"/>
      <c r="K44" s="67"/>
      <c r="L44" s="1"/>
      <c r="M44" s="134"/>
      <c r="N44" s="1"/>
      <c r="O44" s="78"/>
    </row>
    <row r="45" spans="2:15" ht="15.75" thickBot="1" x14ac:dyDescent="0.3">
      <c r="B45" s="148"/>
      <c r="C45" s="132"/>
      <c r="D45" s="87" t="str">
        <f>DEC2BIN(D83-1,2)</f>
        <v>00</v>
      </c>
      <c r="E45" s="88"/>
      <c r="F45" s="84" t="str">
        <f>DEC2BIN(F83-1,2)</f>
        <v>00</v>
      </c>
      <c r="G45" s="84"/>
      <c r="H45" s="73">
        <v>0</v>
      </c>
      <c r="I45" s="84" t="str">
        <f>DEC2BIN(I83-1,2)</f>
        <v>00</v>
      </c>
      <c r="J45" s="84"/>
      <c r="K45" s="68">
        <f>IF(K80,1,0)</f>
        <v>0</v>
      </c>
      <c r="L45" s="36"/>
      <c r="M45" s="135"/>
      <c r="N45" s="36"/>
      <c r="O45" s="78"/>
    </row>
    <row r="46" spans="2:15" ht="15.75" thickTop="1" x14ac:dyDescent="0.25"/>
    <row r="48" spans="2:15" hidden="1" x14ac:dyDescent="0.25">
      <c r="B48" s="37" t="str">
        <f>"Register 0x"&amp;C12</f>
        <v>Register 0x0x04</v>
      </c>
      <c r="C48" s="39" t="s">
        <v>39</v>
      </c>
      <c r="D48" s="34" t="str">
        <f>D13</f>
        <v>DRDY_STATUS</v>
      </c>
      <c r="E48" s="34" t="str">
        <f>E13</f>
        <v>HH_STATUS</v>
      </c>
      <c r="F48" s="34" t="str">
        <f>F13</f>
        <v>HL_STATUS</v>
      </c>
      <c r="G48" s="34" t="str">
        <f>G13</f>
        <v>TH_STATUS</v>
      </c>
      <c r="H48" s="34" t="str">
        <f>H13</f>
        <v>TL_STATUS</v>
      </c>
      <c r="I48" s="108" t="s">
        <v>11</v>
      </c>
      <c r="J48" s="108"/>
      <c r="K48" s="109"/>
    </row>
    <row r="49" spans="2:11" hidden="1" x14ac:dyDescent="0.25">
      <c r="B49" s="38" t="str">
        <f>B12</f>
        <v>Interrupt/Data Ready</v>
      </c>
      <c r="C49" s="13" t="str">
        <f>HEX2BIN(M12,8)</f>
        <v>00000000</v>
      </c>
      <c r="D49" s="13" t="str">
        <f>LEFT($C49,1)</f>
        <v>0</v>
      </c>
      <c r="E49" s="13" t="str">
        <f>RIGHT(LEFT($C49,2),1)</f>
        <v>0</v>
      </c>
      <c r="F49" s="13" t="str">
        <f>RIGHT(LEFT($C49,3),1)</f>
        <v>0</v>
      </c>
      <c r="G49" s="13" t="str">
        <f>RIGHT(LEFT($C49,4),1)</f>
        <v>0</v>
      </c>
      <c r="H49" s="13" t="str">
        <f>RIGHT(LEFT($C49,5),1)</f>
        <v>0</v>
      </c>
      <c r="I49" s="13">
        <v>0</v>
      </c>
      <c r="J49" s="13">
        <v>0</v>
      </c>
      <c r="K49" s="31">
        <v>0</v>
      </c>
    </row>
    <row r="50" spans="2:11" hidden="1" x14ac:dyDescent="0.25">
      <c r="B50" s="110" t="s">
        <v>40</v>
      </c>
      <c r="C50" s="111"/>
      <c r="D50" s="13" t="s">
        <v>42</v>
      </c>
      <c r="E50" s="13" t="s">
        <v>44</v>
      </c>
      <c r="F50" s="13" t="s">
        <v>44</v>
      </c>
      <c r="G50" s="13" t="s">
        <v>44</v>
      </c>
      <c r="H50" s="13" t="s">
        <v>44</v>
      </c>
      <c r="I50" s="13" t="s">
        <v>12</v>
      </c>
      <c r="J50" s="13" t="s">
        <v>12</v>
      </c>
      <c r="K50" s="31" t="s">
        <v>12</v>
      </c>
    </row>
    <row r="51" spans="2:11" ht="15.75" hidden="1" thickBot="1" x14ac:dyDescent="0.3">
      <c r="B51" s="112" t="s">
        <v>41</v>
      </c>
      <c r="C51" s="113"/>
      <c r="D51" s="3" t="s">
        <v>43</v>
      </c>
      <c r="E51" s="3" t="s">
        <v>45</v>
      </c>
      <c r="F51" s="3" t="s">
        <v>45</v>
      </c>
      <c r="G51" s="3" t="s">
        <v>45</v>
      </c>
      <c r="H51" s="3" t="s">
        <v>45</v>
      </c>
      <c r="I51" s="3" t="s">
        <v>12</v>
      </c>
      <c r="J51" s="3" t="s">
        <v>12</v>
      </c>
      <c r="K51" s="33" t="s">
        <v>12</v>
      </c>
    </row>
    <row r="52" spans="2:11" ht="3.75" hidden="1" customHeight="1" thickBot="1" x14ac:dyDescent="0.3">
      <c r="F52" s="25"/>
    </row>
    <row r="53" spans="2:11" hidden="1" x14ac:dyDescent="0.25">
      <c r="B53" s="37" t="str">
        <f>"Register 0x"&amp;C19</f>
        <v>Register 0x0x07</v>
      </c>
      <c r="C53" s="39" t="s">
        <v>39</v>
      </c>
      <c r="D53" s="34" t="str">
        <f>D19</f>
        <v>Data Ready Mask</v>
      </c>
      <c r="E53" s="34" t="str">
        <f t="shared" ref="E53:H53" si="2">E19</f>
        <v>Humidity High Mask</v>
      </c>
      <c r="F53" s="34" t="str">
        <f t="shared" si="2"/>
        <v>Humidity Low Mask</v>
      </c>
      <c r="G53" s="34" t="str">
        <f t="shared" si="2"/>
        <v>Temp High Mask</v>
      </c>
      <c r="H53" s="34" t="str">
        <f t="shared" si="2"/>
        <v>Temp Low Mask</v>
      </c>
      <c r="I53" s="108" t="s">
        <v>11</v>
      </c>
      <c r="J53" s="108"/>
      <c r="K53" s="109"/>
    </row>
    <row r="54" spans="2:11" hidden="1" x14ac:dyDescent="0.25">
      <c r="B54" s="38">
        <f>B16</f>
        <v>0</v>
      </c>
      <c r="C54" s="13" t="str">
        <f>HEX2BIN(M19,8)</f>
        <v>01111000</v>
      </c>
      <c r="D54" s="13" t="str">
        <f>LEFT($C54,1)</f>
        <v>0</v>
      </c>
      <c r="E54" s="13" t="str">
        <f>RIGHT(LEFT($C54,2),1)</f>
        <v>1</v>
      </c>
      <c r="F54" s="13" t="str">
        <f>RIGHT(LEFT($C54,3),1)</f>
        <v>1</v>
      </c>
      <c r="G54" s="13" t="str">
        <f>RIGHT(LEFT($C54,4),1)</f>
        <v>1</v>
      </c>
      <c r="H54" s="13" t="str">
        <f>RIGHT(LEFT($C54,5),1)</f>
        <v>1</v>
      </c>
      <c r="I54" s="13">
        <v>0</v>
      </c>
      <c r="J54" s="13">
        <v>0</v>
      </c>
      <c r="K54" s="31">
        <v>0</v>
      </c>
    </row>
    <row r="55" spans="2:11" hidden="1" x14ac:dyDescent="0.25">
      <c r="B55" s="110" t="s">
        <v>40</v>
      </c>
      <c r="C55" s="111"/>
      <c r="D55" s="13" t="s">
        <v>14</v>
      </c>
      <c r="E55" s="13" t="s">
        <v>59</v>
      </c>
      <c r="F55" s="13" t="s">
        <v>59</v>
      </c>
      <c r="G55" s="13" t="s">
        <v>59</v>
      </c>
      <c r="H55" s="13" t="s">
        <v>59</v>
      </c>
      <c r="I55" s="13" t="s">
        <v>12</v>
      </c>
      <c r="J55" s="13" t="s">
        <v>12</v>
      </c>
      <c r="K55" s="31" t="s">
        <v>12</v>
      </c>
    </row>
    <row r="56" spans="2:11" ht="15.75" hidden="1" thickBot="1" x14ac:dyDescent="0.3">
      <c r="B56" s="112" t="s">
        <v>41</v>
      </c>
      <c r="C56" s="113"/>
      <c r="D56" s="3" t="s">
        <v>59</v>
      </c>
      <c r="E56" s="3" t="s">
        <v>14</v>
      </c>
      <c r="F56" s="3" t="s">
        <v>14</v>
      </c>
      <c r="G56" s="3" t="s">
        <v>14</v>
      </c>
      <c r="H56" s="3" t="s">
        <v>14</v>
      </c>
      <c r="I56" s="3" t="s">
        <v>12</v>
      </c>
      <c r="J56" s="3" t="s">
        <v>12</v>
      </c>
      <c r="K56" s="33" t="s">
        <v>12</v>
      </c>
    </row>
    <row r="57" spans="2:11" ht="3.75" hidden="1" customHeight="1" thickBot="1" x14ac:dyDescent="0.3">
      <c r="F57" s="25"/>
    </row>
    <row r="58" spans="2:11" hidden="1" x14ac:dyDescent="0.25">
      <c r="B58" s="79" t="str">
        <f>"Register 0x"&amp;C22</f>
        <v>Register 0x0x08</v>
      </c>
      <c r="C58" s="80"/>
      <c r="D58" s="46">
        <v>-20.62</v>
      </c>
      <c r="E58" s="46">
        <v>10.32</v>
      </c>
      <c r="F58" s="47">
        <v>5.16</v>
      </c>
      <c r="G58" s="46">
        <v>2.58</v>
      </c>
      <c r="H58" s="46">
        <v>1.28</v>
      </c>
      <c r="I58" s="46">
        <v>0.64</v>
      </c>
      <c r="J58" s="46">
        <v>0.32</v>
      </c>
      <c r="K58" s="48">
        <v>0.16</v>
      </c>
    </row>
    <row r="59" spans="2:11" hidden="1" x14ac:dyDescent="0.25">
      <c r="B59" s="42" t="s">
        <v>63</v>
      </c>
      <c r="C59" s="43" t="str">
        <f>BIN2HEX(CONCATENATE(D59,E59,F59,G59,H59,I59,J59,K59),2)</f>
        <v>75</v>
      </c>
      <c r="D59" s="13">
        <f>IF(G23&lt;0,1,0)</f>
        <v>0</v>
      </c>
      <c r="E59" s="13">
        <f t="shared" ref="E59:K59" si="3">FLOOR(D60/E58,1)</f>
        <v>1</v>
      </c>
      <c r="F59" s="13">
        <f t="shared" si="3"/>
        <v>1</v>
      </c>
      <c r="G59" s="13">
        <f t="shared" si="3"/>
        <v>1</v>
      </c>
      <c r="H59" s="13">
        <f t="shared" si="3"/>
        <v>0</v>
      </c>
      <c r="I59" s="13">
        <f t="shared" si="3"/>
        <v>1</v>
      </c>
      <c r="J59" s="13">
        <f t="shared" si="3"/>
        <v>0</v>
      </c>
      <c r="K59" s="31">
        <f t="shared" si="3"/>
        <v>1</v>
      </c>
    </row>
    <row r="60" spans="2:11" hidden="1" x14ac:dyDescent="0.25">
      <c r="B60" s="94" t="s">
        <v>64</v>
      </c>
      <c r="C60" s="95"/>
      <c r="D60" s="13">
        <f>G23-D59*D58</f>
        <v>19</v>
      </c>
      <c r="E60" s="13">
        <f t="shared" ref="E60:K60" si="4">D60-E59*E58</f>
        <v>8.68</v>
      </c>
      <c r="F60" s="13">
        <f t="shared" si="4"/>
        <v>3.5199999999999996</v>
      </c>
      <c r="G60" s="13">
        <f t="shared" si="4"/>
        <v>0.9399999999999995</v>
      </c>
      <c r="H60" s="13">
        <f t="shared" si="4"/>
        <v>0.9399999999999995</v>
      </c>
      <c r="I60" s="13">
        <f t="shared" si="4"/>
        <v>0.29999999999999949</v>
      </c>
      <c r="J60" s="13">
        <f t="shared" si="4"/>
        <v>0.29999999999999949</v>
      </c>
      <c r="K60" s="31">
        <f t="shared" si="4"/>
        <v>0.13999999999999949</v>
      </c>
    </row>
    <row r="61" spans="2:11" ht="15.75" hidden="1" thickBot="1" x14ac:dyDescent="0.3">
      <c r="B61" s="8" t="s">
        <v>65</v>
      </c>
      <c r="C61" s="44">
        <f>SUM(D61:K61)</f>
        <v>18.860000000000003</v>
      </c>
      <c r="D61" s="9">
        <f>D59*D58</f>
        <v>0</v>
      </c>
      <c r="E61" s="9">
        <f t="shared" ref="E61:K61" si="5">E59*E58</f>
        <v>10.32</v>
      </c>
      <c r="F61" s="9">
        <f t="shared" si="5"/>
        <v>5.16</v>
      </c>
      <c r="G61" s="9">
        <f t="shared" si="5"/>
        <v>2.58</v>
      </c>
      <c r="H61" s="9">
        <f t="shared" si="5"/>
        <v>0</v>
      </c>
      <c r="I61" s="9">
        <f t="shared" si="5"/>
        <v>0.64</v>
      </c>
      <c r="J61" s="9">
        <f t="shared" si="5"/>
        <v>0</v>
      </c>
      <c r="K61" s="10">
        <f t="shared" si="5"/>
        <v>0.16</v>
      </c>
    </row>
    <row r="62" spans="2:11" ht="3.75" hidden="1" customHeight="1" thickBot="1" x14ac:dyDescent="0.3">
      <c r="F62" s="25"/>
    </row>
    <row r="63" spans="2:11" hidden="1" x14ac:dyDescent="0.25">
      <c r="B63" s="79" t="str">
        <f>"Register 0x"&amp;C25</f>
        <v>Register 0x0x09</v>
      </c>
      <c r="C63" s="80"/>
      <c r="D63" s="49">
        <v>-0.25</v>
      </c>
      <c r="E63" s="49">
        <v>0.125</v>
      </c>
      <c r="F63" s="49">
        <v>6.3E-2</v>
      </c>
      <c r="G63" s="49">
        <v>3.1E-2</v>
      </c>
      <c r="H63" s="49">
        <v>1.6E-2</v>
      </c>
      <c r="I63" s="49">
        <v>8.0000000000000002E-3</v>
      </c>
      <c r="J63" s="49">
        <v>4.0000000000000001E-3</v>
      </c>
      <c r="K63" s="50">
        <v>2E-3</v>
      </c>
    </row>
    <row r="64" spans="2:11" hidden="1" x14ac:dyDescent="0.25">
      <c r="B64" s="42" t="s">
        <v>63</v>
      </c>
      <c r="C64" s="43" t="str">
        <f>BIN2HEX(CONCATENATE(D64,E64,F64,G64,H64,I64,J64,K64),2)</f>
        <v>7E</v>
      </c>
      <c r="D64" s="53">
        <f>IF(G26&lt;0,1,0)</f>
        <v>0</v>
      </c>
      <c r="E64" s="53">
        <f t="shared" ref="E64:K64" si="6">FLOOR(D65/E63,1)</f>
        <v>1</v>
      </c>
      <c r="F64" s="53">
        <f t="shared" si="6"/>
        <v>1</v>
      </c>
      <c r="G64" s="55">
        <f t="shared" si="6"/>
        <v>1</v>
      </c>
      <c r="H64" s="55">
        <f t="shared" si="6"/>
        <v>1</v>
      </c>
      <c r="I64" s="55">
        <f t="shared" si="6"/>
        <v>1</v>
      </c>
      <c r="J64" s="55">
        <f t="shared" si="6"/>
        <v>1</v>
      </c>
      <c r="K64" s="54">
        <f t="shared" si="6"/>
        <v>0</v>
      </c>
    </row>
    <row r="65" spans="2:11" hidden="1" x14ac:dyDescent="0.25">
      <c r="B65" s="94" t="s">
        <v>64</v>
      </c>
      <c r="C65" s="95"/>
      <c r="D65" s="51">
        <f>G26-D64*D63</f>
        <v>0.248</v>
      </c>
      <c r="E65" s="51">
        <f t="shared" ref="E65:K65" si="7">D65-E64*E63</f>
        <v>0.123</v>
      </c>
      <c r="F65" s="51">
        <f t="shared" si="7"/>
        <v>0.06</v>
      </c>
      <c r="G65" s="51">
        <f t="shared" si="7"/>
        <v>2.8999999999999998E-2</v>
      </c>
      <c r="H65" s="51">
        <f t="shared" si="7"/>
        <v>1.2999999999999998E-2</v>
      </c>
      <c r="I65" s="51">
        <f t="shared" si="7"/>
        <v>4.9999999999999975E-3</v>
      </c>
      <c r="J65" s="51">
        <f t="shared" si="7"/>
        <v>9.9999999999999742E-4</v>
      </c>
      <c r="K65" s="52">
        <f t="shared" si="7"/>
        <v>9.9999999999999742E-4</v>
      </c>
    </row>
    <row r="66" spans="2:11" ht="15.75" hidden="1" thickBot="1" x14ac:dyDescent="0.3">
      <c r="B66" s="8" t="s">
        <v>65</v>
      </c>
      <c r="C66" s="44">
        <f>SUM(D66:K66)</f>
        <v>0.247</v>
      </c>
      <c r="D66" s="9">
        <f>D64*D63</f>
        <v>0</v>
      </c>
      <c r="E66" s="9">
        <f t="shared" ref="E66:K66" si="8">E64*E63</f>
        <v>0.125</v>
      </c>
      <c r="F66" s="9">
        <f t="shared" si="8"/>
        <v>6.3E-2</v>
      </c>
      <c r="G66" s="9">
        <f t="shared" si="8"/>
        <v>3.1E-2</v>
      </c>
      <c r="H66" s="9">
        <f t="shared" si="8"/>
        <v>1.6E-2</v>
      </c>
      <c r="I66" s="9">
        <f t="shared" si="8"/>
        <v>8.0000000000000002E-3</v>
      </c>
      <c r="J66" s="9">
        <f t="shared" si="8"/>
        <v>4.0000000000000001E-3</v>
      </c>
      <c r="K66" s="10">
        <f t="shared" si="8"/>
        <v>0</v>
      </c>
    </row>
    <row r="67" spans="2:11" ht="3.75" hidden="1" customHeight="1" thickBot="1" x14ac:dyDescent="0.3">
      <c r="F67" s="25"/>
    </row>
    <row r="68" spans="2:11" hidden="1" x14ac:dyDescent="0.25">
      <c r="B68" s="79" t="str">
        <f>"Register 0x"&amp;C40</f>
        <v>Register 0x0x0E</v>
      </c>
      <c r="C68" s="80"/>
      <c r="D68" s="62" t="str">
        <f>D40</f>
        <v>Soft Reset</v>
      </c>
      <c r="E68" s="62" t="str">
        <f>E40</f>
        <v>Data Rate</v>
      </c>
      <c r="F68" s="11"/>
      <c r="G68" s="11"/>
      <c r="H68" s="62" t="str">
        <f>H40</f>
        <v>Heater</v>
      </c>
      <c r="I68" s="62" t="str">
        <f>I40</f>
        <v>Interrupt</v>
      </c>
      <c r="J68" s="62" t="str">
        <f>J40</f>
        <v>Interrupt Polarity</v>
      </c>
      <c r="K68" s="63" t="str">
        <f>K40</f>
        <v>Interrupt Mode</v>
      </c>
    </row>
    <row r="69" spans="2:11" hidden="1" x14ac:dyDescent="0.25">
      <c r="B69" s="6"/>
      <c r="C69" s="2"/>
      <c r="D69" s="2" t="b">
        <v>0</v>
      </c>
      <c r="E69" s="2" t="s">
        <v>84</v>
      </c>
      <c r="F69" s="2"/>
      <c r="G69" s="2"/>
      <c r="H69" s="2" t="b">
        <v>0</v>
      </c>
      <c r="I69" s="2" t="b">
        <v>0</v>
      </c>
      <c r="J69" s="2" t="s">
        <v>92</v>
      </c>
      <c r="K69" s="7" t="s">
        <v>93</v>
      </c>
    </row>
    <row r="70" spans="2:11" hidden="1" x14ac:dyDescent="0.25">
      <c r="B70" s="6"/>
      <c r="C70" s="2"/>
      <c r="D70" s="2"/>
      <c r="E70" s="13" t="s">
        <v>83</v>
      </c>
      <c r="F70" s="2"/>
      <c r="G70" s="2"/>
      <c r="H70" s="2"/>
      <c r="I70" s="2"/>
      <c r="J70" s="2" t="s">
        <v>15</v>
      </c>
      <c r="K70" s="7" t="s">
        <v>94</v>
      </c>
    </row>
    <row r="71" spans="2:11" hidden="1" x14ac:dyDescent="0.25">
      <c r="B71" s="6"/>
      <c r="C71" s="2"/>
      <c r="D71" s="2"/>
      <c r="E71" s="13" t="s">
        <v>82</v>
      </c>
      <c r="F71" s="2"/>
      <c r="G71" s="2"/>
      <c r="H71" s="2"/>
      <c r="I71" s="2"/>
      <c r="J71" s="2">
        <v>1</v>
      </c>
      <c r="K71" s="7">
        <v>2</v>
      </c>
    </row>
    <row r="72" spans="2:11" hidden="1" x14ac:dyDescent="0.25">
      <c r="B72" s="6"/>
      <c r="C72" s="2"/>
      <c r="D72" s="2"/>
      <c r="E72" s="13" t="s">
        <v>85</v>
      </c>
      <c r="F72" s="2"/>
      <c r="G72" s="2"/>
      <c r="H72" s="2"/>
      <c r="I72" s="2"/>
      <c r="J72" s="2"/>
      <c r="K72" s="7"/>
    </row>
    <row r="73" spans="2:11" hidden="1" x14ac:dyDescent="0.25">
      <c r="B73" s="6"/>
      <c r="C73" s="2"/>
      <c r="D73" s="2"/>
      <c r="E73" s="13" t="s">
        <v>86</v>
      </c>
      <c r="F73" s="2"/>
      <c r="G73" s="2"/>
      <c r="H73" s="2"/>
      <c r="I73" s="2"/>
      <c r="J73" s="2"/>
      <c r="K73" s="7"/>
    </row>
    <row r="74" spans="2:11" hidden="1" x14ac:dyDescent="0.25">
      <c r="B74" s="6"/>
      <c r="C74" s="2"/>
      <c r="D74" s="2"/>
      <c r="E74" s="13" t="s">
        <v>87</v>
      </c>
      <c r="F74" s="2"/>
      <c r="G74" s="2"/>
      <c r="H74" s="2"/>
      <c r="I74" s="2"/>
      <c r="J74" s="2"/>
      <c r="K74" s="7"/>
    </row>
    <row r="75" spans="2:11" hidden="1" x14ac:dyDescent="0.25">
      <c r="B75" s="6"/>
      <c r="C75" s="2"/>
      <c r="D75" s="2"/>
      <c r="E75" s="13" t="s">
        <v>88</v>
      </c>
      <c r="F75" s="2"/>
      <c r="G75" s="2"/>
      <c r="H75" s="2"/>
      <c r="I75" s="2"/>
      <c r="J75" s="2"/>
      <c r="K75" s="7"/>
    </row>
    <row r="76" spans="2:11" hidden="1" x14ac:dyDescent="0.25">
      <c r="B76" s="6"/>
      <c r="C76" s="2"/>
      <c r="D76" s="2"/>
      <c r="E76" s="13" t="s">
        <v>89</v>
      </c>
      <c r="F76" s="2"/>
      <c r="G76" s="2"/>
      <c r="H76" s="2"/>
      <c r="I76" s="2"/>
      <c r="J76" s="2"/>
      <c r="K76" s="7"/>
    </row>
    <row r="77" spans="2:11" ht="15.75" hidden="1" thickBot="1" x14ac:dyDescent="0.3">
      <c r="B77" s="8"/>
      <c r="C77" s="9"/>
      <c r="D77" s="9"/>
      <c r="E77" s="9">
        <v>1</v>
      </c>
      <c r="F77" s="9"/>
      <c r="G77" s="9"/>
      <c r="H77" s="9"/>
      <c r="I77" s="9"/>
      <c r="J77" s="9"/>
      <c r="K77" s="10"/>
    </row>
    <row r="78" spans="2:11" ht="3.75" hidden="1" customHeight="1" thickBot="1" x14ac:dyDescent="0.3">
      <c r="F78" s="25"/>
    </row>
    <row r="79" spans="2:11" hidden="1" x14ac:dyDescent="0.25">
      <c r="B79" s="79" t="str">
        <f>"Register 0x"&amp;C43</f>
        <v>Register 0x0x0F</v>
      </c>
      <c r="C79" s="80"/>
      <c r="D79" s="82" t="str">
        <f>D43</f>
        <v>Temperature Resolution</v>
      </c>
      <c r="E79" s="82"/>
      <c r="F79" s="81" t="str">
        <f>F43</f>
        <v>Humidity Resolution</v>
      </c>
      <c r="G79" s="81"/>
      <c r="H79" s="19" t="str">
        <f>H43</f>
        <v>RESERVED</v>
      </c>
      <c r="I79" s="81" t="str">
        <f>I43</f>
        <v>Measurement Configuration</v>
      </c>
      <c r="J79" s="81"/>
      <c r="K79" s="63" t="str">
        <f>K43</f>
        <v>Start Measurement</v>
      </c>
    </row>
    <row r="80" spans="2:11" hidden="1" x14ac:dyDescent="0.25">
      <c r="B80" s="6"/>
      <c r="C80" s="2"/>
      <c r="D80" s="14" t="s">
        <v>105</v>
      </c>
      <c r="E80" s="14"/>
      <c r="F80" s="14" t="s">
        <v>99</v>
      </c>
      <c r="G80" s="14"/>
      <c r="H80" s="14"/>
      <c r="I80" s="14" t="s">
        <v>104</v>
      </c>
      <c r="J80" s="14"/>
      <c r="K80" s="15" t="b">
        <v>0</v>
      </c>
    </row>
    <row r="81" spans="2:11" hidden="1" x14ac:dyDescent="0.25">
      <c r="B81" s="12"/>
      <c r="C81" s="2"/>
      <c r="D81" s="14" t="s">
        <v>100</v>
      </c>
      <c r="E81" s="14"/>
      <c r="F81" s="14" t="s">
        <v>100</v>
      </c>
      <c r="G81" s="14"/>
      <c r="H81" s="14"/>
      <c r="I81" s="14" t="s">
        <v>102</v>
      </c>
      <c r="J81" s="14"/>
      <c r="K81" s="15"/>
    </row>
    <row r="82" spans="2:11" hidden="1" x14ac:dyDescent="0.25">
      <c r="B82" s="6"/>
      <c r="C82" s="2"/>
      <c r="D82" s="14" t="s">
        <v>101</v>
      </c>
      <c r="E82" s="14"/>
      <c r="F82" s="14" t="s">
        <v>101</v>
      </c>
      <c r="G82" s="14"/>
      <c r="H82" s="14"/>
      <c r="I82" s="14" t="s">
        <v>103</v>
      </c>
      <c r="J82" s="14"/>
      <c r="K82" s="15"/>
    </row>
    <row r="83" spans="2:11" ht="15.75" hidden="1" thickBot="1" x14ac:dyDescent="0.3">
      <c r="B83" s="8"/>
      <c r="C83" s="9"/>
      <c r="D83" s="17">
        <v>1</v>
      </c>
      <c r="E83" s="17"/>
      <c r="F83" s="17">
        <v>1</v>
      </c>
      <c r="G83" s="17"/>
      <c r="H83" s="17"/>
      <c r="I83" s="17">
        <v>1</v>
      </c>
      <c r="J83" s="17"/>
      <c r="K83" s="18"/>
    </row>
    <row r="84" spans="2:11" x14ac:dyDescent="0.25">
      <c r="D84" s="16"/>
      <c r="E84" s="16"/>
      <c r="F84" s="16"/>
      <c r="G84" s="16"/>
      <c r="H84" s="16"/>
      <c r="I84" s="16"/>
      <c r="J84" s="16"/>
      <c r="K84" s="16"/>
    </row>
    <row r="85" spans="2:11" x14ac:dyDescent="0.25">
      <c r="D85" s="16"/>
      <c r="E85" s="16"/>
      <c r="F85" s="16"/>
      <c r="G85" s="16"/>
      <c r="H85" s="16"/>
      <c r="I85" s="16"/>
      <c r="J85" s="16"/>
      <c r="K85" s="16"/>
    </row>
    <row r="86" spans="2:11" x14ac:dyDescent="0.25">
      <c r="D86" s="16"/>
      <c r="E86" s="16"/>
      <c r="F86" s="16"/>
      <c r="G86" s="16"/>
      <c r="H86" s="16"/>
      <c r="I86" s="16"/>
      <c r="J86" s="16"/>
      <c r="K86" s="16"/>
    </row>
    <row r="87" spans="2:11" x14ac:dyDescent="0.25">
      <c r="D87" s="16"/>
      <c r="E87" s="16"/>
      <c r="F87" s="16"/>
      <c r="G87" s="16"/>
      <c r="H87" s="16"/>
      <c r="I87" s="16"/>
      <c r="J87" s="16"/>
      <c r="K87" s="16"/>
    </row>
    <row r="88" spans="2:11" x14ac:dyDescent="0.25">
      <c r="D88" s="16"/>
      <c r="E88" s="16"/>
      <c r="F88" s="16"/>
      <c r="G88" s="16"/>
      <c r="H88" s="16"/>
      <c r="I88" s="16"/>
      <c r="J88" s="16"/>
      <c r="K88" s="16"/>
    </row>
    <row r="89" spans="2:11" x14ac:dyDescent="0.25">
      <c r="D89" s="16"/>
      <c r="E89" s="16"/>
      <c r="F89" s="16"/>
      <c r="G89" s="16"/>
      <c r="H89" s="16"/>
      <c r="I89" s="16"/>
      <c r="J89" s="16"/>
      <c r="K89" s="16"/>
    </row>
    <row r="90" spans="2:11" x14ac:dyDescent="0.25">
      <c r="D90" s="16"/>
      <c r="E90" s="16"/>
      <c r="F90" s="16"/>
      <c r="G90" s="16"/>
      <c r="H90" s="16"/>
      <c r="I90" s="16"/>
      <c r="J90" s="16"/>
      <c r="K90" s="16"/>
    </row>
    <row r="91" spans="2:11" x14ac:dyDescent="0.25">
      <c r="D91" s="16"/>
      <c r="E91" s="16"/>
      <c r="F91" s="16"/>
      <c r="G91" s="16"/>
      <c r="H91" s="16"/>
      <c r="I91" s="16"/>
      <c r="J91" s="16"/>
      <c r="K91" s="16"/>
    </row>
    <row r="92" spans="2:11" x14ac:dyDescent="0.25">
      <c r="D92" s="16"/>
      <c r="E92" s="16"/>
      <c r="F92" s="16"/>
      <c r="G92" s="16"/>
      <c r="H92" s="16"/>
      <c r="I92" s="16"/>
      <c r="J92" s="16"/>
      <c r="K92" s="16"/>
    </row>
    <row r="93" spans="2:11" x14ac:dyDescent="0.25">
      <c r="D93" s="16"/>
      <c r="E93" s="16"/>
      <c r="F93" s="16"/>
      <c r="G93" s="16"/>
      <c r="H93" s="16"/>
      <c r="I93" s="16"/>
      <c r="J93" s="16"/>
      <c r="K93" s="16"/>
    </row>
    <row r="94" spans="2:11" x14ac:dyDescent="0.25">
      <c r="D94" s="16"/>
      <c r="E94" s="16"/>
      <c r="F94" s="16"/>
      <c r="G94" s="16"/>
      <c r="H94" s="16"/>
      <c r="I94" s="16"/>
      <c r="J94" s="16"/>
      <c r="K94" s="16"/>
    </row>
    <row r="95" spans="2:11" x14ac:dyDescent="0.25">
      <c r="D95" s="16"/>
      <c r="E95" s="16"/>
      <c r="F95" s="16"/>
      <c r="G95" s="16"/>
      <c r="H95" s="16"/>
      <c r="I95" s="16"/>
      <c r="J95" s="16"/>
      <c r="K95" s="16"/>
    </row>
  </sheetData>
  <mergeCells count="120">
    <mergeCell ref="B6:B7"/>
    <mergeCell ref="B4:B5"/>
    <mergeCell ref="C6:C7"/>
    <mergeCell ref="C4:C5"/>
    <mergeCell ref="B2:B3"/>
    <mergeCell ref="D2:K2"/>
    <mergeCell ref="C2:C3"/>
    <mergeCell ref="D4:K4"/>
    <mergeCell ref="D5:K5"/>
    <mergeCell ref="B12:B14"/>
    <mergeCell ref="C12:C14"/>
    <mergeCell ref="I14:K14"/>
    <mergeCell ref="I12:K13"/>
    <mergeCell ref="B10:B11"/>
    <mergeCell ref="D10:K10"/>
    <mergeCell ref="D11:K11"/>
    <mergeCell ref="C10:C11"/>
    <mergeCell ref="B8:B9"/>
    <mergeCell ref="C8:C9"/>
    <mergeCell ref="B25:B27"/>
    <mergeCell ref="C25:C27"/>
    <mergeCell ref="B28:B30"/>
    <mergeCell ref="C28:C30"/>
    <mergeCell ref="B19:B21"/>
    <mergeCell ref="C19:C21"/>
    <mergeCell ref="B22:B24"/>
    <mergeCell ref="C22:C24"/>
    <mergeCell ref="B15:B16"/>
    <mergeCell ref="C15:C16"/>
    <mergeCell ref="B17:B18"/>
    <mergeCell ref="C17:C18"/>
    <mergeCell ref="D16:K16"/>
    <mergeCell ref="D15:K15"/>
    <mergeCell ref="D17:K17"/>
    <mergeCell ref="M12:M14"/>
    <mergeCell ref="M15:M16"/>
    <mergeCell ref="M17:M18"/>
    <mergeCell ref="M19:M21"/>
    <mergeCell ref="M2:M3"/>
    <mergeCell ref="M4:M5"/>
    <mergeCell ref="M6:M7"/>
    <mergeCell ref="M8:M9"/>
    <mergeCell ref="M10:M11"/>
    <mergeCell ref="D8:K8"/>
    <mergeCell ref="D9:K9"/>
    <mergeCell ref="D6:K6"/>
    <mergeCell ref="D7:K7"/>
    <mergeCell ref="D18:K18"/>
    <mergeCell ref="I19:K20"/>
    <mergeCell ref="I21:K21"/>
    <mergeCell ref="C43:C45"/>
    <mergeCell ref="M43:M45"/>
    <mergeCell ref="B51:C51"/>
    <mergeCell ref="B50:C50"/>
    <mergeCell ref="M22:M24"/>
    <mergeCell ref="B31:B33"/>
    <mergeCell ref="C31:C33"/>
    <mergeCell ref="M31:M33"/>
    <mergeCell ref="B34:B36"/>
    <mergeCell ref="C34:C36"/>
    <mergeCell ref="M34:M36"/>
    <mergeCell ref="B37:B39"/>
    <mergeCell ref="C37:C39"/>
    <mergeCell ref="M37:M39"/>
    <mergeCell ref="B40:B42"/>
    <mergeCell ref="C40:C42"/>
    <mergeCell ref="M40:M42"/>
    <mergeCell ref="B43:B45"/>
    <mergeCell ref="M25:M27"/>
    <mergeCell ref="M28:M30"/>
    <mergeCell ref="I48:K48"/>
    <mergeCell ref="D22:K22"/>
    <mergeCell ref="D23:F23"/>
    <mergeCell ref="H23:K23"/>
    <mergeCell ref="D24:K24"/>
    <mergeCell ref="H35:K35"/>
    <mergeCell ref="D36:K36"/>
    <mergeCell ref="D37:K37"/>
    <mergeCell ref="D38:F38"/>
    <mergeCell ref="H38:K38"/>
    <mergeCell ref="D32:F32"/>
    <mergeCell ref="H32:K32"/>
    <mergeCell ref="D33:K33"/>
    <mergeCell ref="D34:K34"/>
    <mergeCell ref="D35:F35"/>
    <mergeCell ref="B60:C60"/>
    <mergeCell ref="B58:C58"/>
    <mergeCell ref="I53:K53"/>
    <mergeCell ref="B55:C55"/>
    <mergeCell ref="B56:C56"/>
    <mergeCell ref="D39:K39"/>
    <mergeCell ref="E40:G40"/>
    <mergeCell ref="E42:G42"/>
    <mergeCell ref="D25:K25"/>
    <mergeCell ref="D26:F26"/>
    <mergeCell ref="H26:K26"/>
    <mergeCell ref="D27:K27"/>
    <mergeCell ref="D28:K28"/>
    <mergeCell ref="D29:F29"/>
    <mergeCell ref="H29:K29"/>
    <mergeCell ref="D30:K30"/>
    <mergeCell ref="D31:K31"/>
    <mergeCell ref="B79:C79"/>
    <mergeCell ref="I79:J79"/>
    <mergeCell ref="F79:G79"/>
    <mergeCell ref="D79:E79"/>
    <mergeCell ref="E41:G41"/>
    <mergeCell ref="B68:C68"/>
    <mergeCell ref="I45:J45"/>
    <mergeCell ref="F45:G45"/>
    <mergeCell ref="F44:G44"/>
    <mergeCell ref="F43:G43"/>
    <mergeCell ref="D45:E45"/>
    <mergeCell ref="D44:E44"/>
    <mergeCell ref="D43:E43"/>
    <mergeCell ref="I43:J43"/>
    <mergeCell ref="I44:J44"/>
    <mergeCell ref="H43:H44"/>
    <mergeCell ref="B63:C63"/>
    <mergeCell ref="B65:C65"/>
  </mergeCells>
  <conditionalFormatting sqref="D5:K5 D7:K7">
    <cfRule type="cellIs" dxfId="2" priority="2" operator="equal">
      <formula>"no data"</formula>
    </cfRule>
  </conditionalFormatting>
  <conditionalFormatting sqref="D9:K9 D11:K11">
    <cfRule type="cellIs" dxfId="1" priority="1" operator="equal">
      <formula>"no data"</formula>
    </cfRule>
  </conditionalFormatting>
  <pageMargins left="0.7" right="0.7" top="0.75" bottom="0.75" header="0.3" footer="0.3"/>
  <pageSetup orientation="portrait" horizontalDpi="4294967293" verticalDpi="4294967293" r:id="rId1"/>
  <ignoredErrors>
    <ignoredError sqref="I14 C11 C9 C7 C5 C13:C14 I21 C18 C16 C20:C21 C23:C24 C26:C2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9" r:id="rId4" name="Check Box 31">
              <controlPr defaultSize="0" autoFill="0" autoLine="0" autoPict="0">
                <anchor moveWithCells="1">
                  <from>
                    <xdr:col>3</xdr:col>
                    <xdr:colOff>381000</xdr:colOff>
                    <xdr:row>40</xdr:row>
                    <xdr:rowOff>9525</xdr:rowOff>
                  </from>
                  <to>
                    <xdr:col>3</xdr:col>
                    <xdr:colOff>962025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5" name="Drop Down 37">
              <controlPr defaultSize="0" autoLine="0" autoPict="0">
                <anchor moveWithCells="1">
                  <from>
                    <xdr:col>5</xdr:col>
                    <xdr:colOff>142875</xdr:colOff>
                    <xdr:row>39</xdr:row>
                    <xdr:rowOff>190500</xdr:rowOff>
                  </from>
                  <to>
                    <xdr:col>5</xdr:col>
                    <xdr:colOff>1123950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6" name="Check Box 38">
              <controlPr defaultSize="0" autoFill="0" autoLine="0" autoPict="0">
                <anchor moveWithCells="1">
                  <from>
                    <xdr:col>7</xdr:col>
                    <xdr:colOff>381000</xdr:colOff>
                    <xdr:row>40</xdr:row>
                    <xdr:rowOff>9525</xdr:rowOff>
                  </from>
                  <to>
                    <xdr:col>7</xdr:col>
                    <xdr:colOff>962025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7" name="Check Box 39">
              <controlPr defaultSize="0" autoFill="0" autoLine="0" autoPict="0">
                <anchor moveWithCells="1">
                  <from>
                    <xdr:col>8</xdr:col>
                    <xdr:colOff>381000</xdr:colOff>
                    <xdr:row>40</xdr:row>
                    <xdr:rowOff>9525</xdr:rowOff>
                  </from>
                  <to>
                    <xdr:col>8</xdr:col>
                    <xdr:colOff>962025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8" name="Drop Down 42">
              <controlPr defaultSize="0" autoLine="0" autoPict="0">
                <anchor moveWithCells="1">
                  <from>
                    <xdr:col>9</xdr:col>
                    <xdr:colOff>142875</xdr:colOff>
                    <xdr:row>40</xdr:row>
                    <xdr:rowOff>0</xdr:rowOff>
                  </from>
                  <to>
                    <xdr:col>9</xdr:col>
                    <xdr:colOff>1123950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9" name="Drop Down 43">
              <controlPr defaultSize="0" autoLine="0" autoPict="0">
                <anchor moveWithCells="1">
                  <from>
                    <xdr:col>10</xdr:col>
                    <xdr:colOff>142875</xdr:colOff>
                    <xdr:row>40</xdr:row>
                    <xdr:rowOff>0</xdr:rowOff>
                  </from>
                  <to>
                    <xdr:col>10</xdr:col>
                    <xdr:colOff>1123950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0" name="Check Box 44">
              <controlPr defaultSize="0" autoFill="0" autoLine="0" autoPict="0">
                <anchor moveWithCells="1">
                  <from>
                    <xdr:col>10</xdr:col>
                    <xdr:colOff>381000</xdr:colOff>
                    <xdr:row>43</xdr:row>
                    <xdr:rowOff>9525</xdr:rowOff>
                  </from>
                  <to>
                    <xdr:col>10</xdr:col>
                    <xdr:colOff>962025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1" name="Drop Down 45">
              <controlPr defaultSize="0" autoLine="0" autoPict="0">
                <anchor moveWithCells="1">
                  <from>
                    <xdr:col>3</xdr:col>
                    <xdr:colOff>809625</xdr:colOff>
                    <xdr:row>43</xdr:row>
                    <xdr:rowOff>0</xdr:rowOff>
                  </from>
                  <to>
                    <xdr:col>4</xdr:col>
                    <xdr:colOff>495300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2" name="Drop Down 46">
              <controlPr defaultSize="0" autoLine="0" autoPict="0">
                <anchor moveWithCells="1">
                  <from>
                    <xdr:col>5</xdr:col>
                    <xdr:colOff>809625</xdr:colOff>
                    <xdr:row>43</xdr:row>
                    <xdr:rowOff>0</xdr:rowOff>
                  </from>
                  <to>
                    <xdr:col>6</xdr:col>
                    <xdr:colOff>495300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13" name="Drop Down 47">
              <controlPr defaultSize="0" autoLine="0" autoPict="0">
                <anchor moveWithCells="1">
                  <from>
                    <xdr:col>8</xdr:col>
                    <xdr:colOff>409575</xdr:colOff>
                    <xdr:row>42</xdr:row>
                    <xdr:rowOff>190500</xdr:rowOff>
                  </from>
                  <to>
                    <xdr:col>9</xdr:col>
                    <xdr:colOff>895350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P201"/>
  <sheetViews>
    <sheetView tabSelected="1" topLeftCell="C1" zoomScaleNormal="100" workbookViewId="0">
      <pane ySplit="3" topLeftCell="A6" activePane="bottomLeft" state="frozen"/>
      <selection pane="bottomLeft" activeCell="P19" sqref="P19"/>
    </sheetView>
  </sheetViews>
  <sheetFormatPr defaultRowHeight="15" x14ac:dyDescent="0.25"/>
  <cols>
    <col min="1" max="1" width="1.7109375" customWidth="1"/>
    <col min="2" max="2" width="20" customWidth="1"/>
    <col min="3" max="3" width="11.140625" customWidth="1"/>
    <col min="4" max="11" width="19.42578125" customWidth="1"/>
    <col min="12" max="12" width="0.28515625" customWidth="1"/>
    <col min="13" max="13" width="17.7109375" customWidth="1"/>
    <col min="14" max="14" width="0.28515625" customWidth="1"/>
  </cols>
  <sheetData>
    <row r="1" spans="2:16" ht="9" customHeight="1" thickBot="1" x14ac:dyDescent="0.3"/>
    <row r="2" spans="2:16" ht="15.75" customHeight="1" thickTop="1" x14ac:dyDescent="0.25">
      <c r="B2" s="173" t="s">
        <v>0</v>
      </c>
      <c r="C2" s="177" t="s">
        <v>0</v>
      </c>
      <c r="D2" s="175" t="s">
        <v>1</v>
      </c>
      <c r="E2" s="175"/>
      <c r="F2" s="175"/>
      <c r="G2" s="175"/>
      <c r="H2" s="175"/>
      <c r="I2" s="175"/>
      <c r="J2" s="175"/>
      <c r="K2" s="176"/>
      <c r="L2" s="20"/>
      <c r="M2" s="156" t="s">
        <v>27</v>
      </c>
      <c r="N2" s="20"/>
      <c r="O2" s="78"/>
    </row>
    <row r="3" spans="2:16" x14ac:dyDescent="0.25">
      <c r="B3" s="174"/>
      <c r="C3" s="178"/>
      <c r="D3" s="4" t="s">
        <v>2</v>
      </c>
      <c r="E3" s="5" t="s">
        <v>3</v>
      </c>
      <c r="F3" s="5" t="s">
        <v>4</v>
      </c>
      <c r="G3" s="5" t="s">
        <v>5</v>
      </c>
      <c r="H3" s="5" t="s">
        <v>6</v>
      </c>
      <c r="I3" s="5" t="s">
        <v>7</v>
      </c>
      <c r="J3" s="5" t="s">
        <v>8</v>
      </c>
      <c r="K3" s="21" t="s">
        <v>9</v>
      </c>
      <c r="L3" s="22"/>
      <c r="M3" s="157"/>
      <c r="N3" s="22"/>
      <c r="O3" s="78"/>
    </row>
    <row r="4" spans="2:16" x14ac:dyDescent="0.25">
      <c r="B4" s="136" t="s">
        <v>48</v>
      </c>
      <c r="C4" s="131" t="s">
        <v>117</v>
      </c>
      <c r="D4" s="96" t="s">
        <v>142</v>
      </c>
      <c r="E4" s="231"/>
      <c r="F4" s="234" t="s">
        <v>143</v>
      </c>
      <c r="G4" s="235"/>
      <c r="H4" s="243" t="s">
        <v>144</v>
      </c>
      <c r="I4" s="244" t="s">
        <v>145</v>
      </c>
      <c r="J4" s="239" t="s">
        <v>146</v>
      </c>
      <c r="K4" s="240"/>
      <c r="L4" s="1"/>
      <c r="M4" s="134" t="str">
        <f>"0x"&amp;BIN2HEX(CONCATENATE(D7,E7,F7,G7,H7,I7,J7,K7),2)</f>
        <v>0xC0</v>
      </c>
      <c r="N4" s="1"/>
      <c r="O4" s="78"/>
    </row>
    <row r="5" spans="2:16" x14ac:dyDescent="0.25">
      <c r="B5" s="136"/>
      <c r="C5" s="131"/>
      <c r="D5" s="232" t="s">
        <v>147</v>
      </c>
      <c r="E5" s="233" t="s">
        <v>148</v>
      </c>
      <c r="F5" s="236" t="s">
        <v>149</v>
      </c>
      <c r="G5" s="237" t="s">
        <v>150</v>
      </c>
      <c r="H5" s="245" t="s">
        <v>151</v>
      </c>
      <c r="I5" s="28" t="s">
        <v>152</v>
      </c>
      <c r="J5" s="236" t="s">
        <v>153</v>
      </c>
      <c r="K5" s="241" t="s">
        <v>154</v>
      </c>
      <c r="L5" s="1"/>
      <c r="M5" s="134"/>
      <c r="N5" s="1"/>
      <c r="O5" s="78"/>
    </row>
    <row r="6" spans="2:16" x14ac:dyDescent="0.25">
      <c r="B6" s="136"/>
      <c r="C6" s="131"/>
      <c r="D6" s="232"/>
      <c r="E6" s="233"/>
      <c r="F6" s="238"/>
      <c r="G6" s="233"/>
      <c r="H6" s="246"/>
      <c r="I6" s="247"/>
      <c r="J6" s="238"/>
      <c r="K6" s="242"/>
      <c r="L6" s="1"/>
      <c r="M6" s="134"/>
      <c r="N6" s="1"/>
      <c r="O6" s="78"/>
    </row>
    <row r="7" spans="2:16" x14ac:dyDescent="0.25">
      <c r="B7" s="137"/>
      <c r="C7" s="138"/>
      <c r="D7" s="45">
        <f>IF(D82,1,0)</f>
        <v>1</v>
      </c>
      <c r="E7" s="257">
        <f>IF(E82,1,0)</f>
        <v>1</v>
      </c>
      <c r="F7" s="65">
        <f t="shared" ref="F7:J7" si="0">IF(F82,1,0)</f>
        <v>0</v>
      </c>
      <c r="G7" s="257">
        <f t="shared" si="0"/>
        <v>0</v>
      </c>
      <c r="H7" s="64">
        <f t="shared" si="0"/>
        <v>0</v>
      </c>
      <c r="I7" s="64">
        <f t="shared" si="0"/>
        <v>0</v>
      </c>
      <c r="J7" s="65">
        <f t="shared" si="0"/>
        <v>0</v>
      </c>
      <c r="K7" s="258">
        <f>IF(K82,1,0)</f>
        <v>0</v>
      </c>
      <c r="L7" s="24"/>
      <c r="M7" s="133"/>
      <c r="N7" s="24"/>
      <c r="O7" s="78"/>
    </row>
    <row r="8" spans="2:16" x14ac:dyDescent="0.25">
      <c r="B8" s="139" t="s">
        <v>156</v>
      </c>
      <c r="C8" s="142" t="s">
        <v>118</v>
      </c>
      <c r="D8" s="96" t="s">
        <v>158</v>
      </c>
      <c r="E8" s="97"/>
      <c r="F8" s="97"/>
      <c r="G8" s="97"/>
      <c r="H8" s="97"/>
      <c r="I8" s="97"/>
      <c r="J8" s="97"/>
      <c r="K8" s="98"/>
      <c r="L8" s="1"/>
      <c r="M8" s="134" t="str">
        <f>D11</f>
        <v>0x00</v>
      </c>
      <c r="N8" s="1"/>
      <c r="O8" s="78"/>
    </row>
    <row r="9" spans="2:16" ht="15.75" thickBot="1" x14ac:dyDescent="0.3">
      <c r="B9" s="140"/>
      <c r="C9" s="143"/>
      <c r="D9" s="259" t="s">
        <v>160</v>
      </c>
      <c r="E9" s="260"/>
      <c r="F9" s="260"/>
      <c r="G9" s="260"/>
      <c r="H9" s="260"/>
      <c r="I9" s="260"/>
      <c r="J9" s="260"/>
      <c r="K9" s="261"/>
      <c r="L9" s="1"/>
      <c r="M9" s="134"/>
      <c r="N9" s="1"/>
      <c r="O9" s="78"/>
    </row>
    <row r="10" spans="2:16" ht="15.75" thickBot="1" x14ac:dyDescent="0.3">
      <c r="B10" s="140"/>
      <c r="C10" s="143"/>
      <c r="D10" s="182"/>
      <c r="E10" s="183"/>
      <c r="F10" s="183"/>
      <c r="G10" s="263">
        <v>1200</v>
      </c>
      <c r="H10" s="262" t="str">
        <f>"(Actual Threshold = "&amp;
(HEX2DEC(RIGHT(D14,2))*POWER(2,8)+HEX2DEC(RIGHT(D11,2)))/16
&amp;"hPa)"</f>
        <v>(Actual Threshold = 1200hPa)</v>
      </c>
      <c r="I10" s="101"/>
      <c r="J10" s="101"/>
      <c r="K10" s="102"/>
      <c r="L10" s="1"/>
      <c r="M10" s="134"/>
      <c r="N10" s="1"/>
      <c r="O10" s="78"/>
      <c r="P10">
        <f>16*G10</f>
        <v>19200</v>
      </c>
    </row>
    <row r="11" spans="2:16" x14ac:dyDescent="0.25">
      <c r="B11" s="141"/>
      <c r="C11" s="144"/>
      <c r="D11" s="103" t="str">
        <f>"0x"&amp;DEC2HEX(MOD(G10*16,POWER(2,8)),2)</f>
        <v>0x00</v>
      </c>
      <c r="E11" s="104"/>
      <c r="F11" s="104"/>
      <c r="G11" s="104"/>
      <c r="H11" s="104"/>
      <c r="I11" s="104"/>
      <c r="J11" s="104"/>
      <c r="K11" s="105"/>
      <c r="L11" s="24"/>
      <c r="M11" s="133"/>
      <c r="N11" s="24"/>
      <c r="O11" s="78"/>
    </row>
    <row r="12" spans="2:16" ht="15" customHeight="1" x14ac:dyDescent="0.25">
      <c r="B12" s="139" t="s">
        <v>157</v>
      </c>
      <c r="C12" s="142" t="s">
        <v>119</v>
      </c>
      <c r="D12" s="96" t="s">
        <v>159</v>
      </c>
      <c r="E12" s="97"/>
      <c r="F12" s="97"/>
      <c r="G12" s="97"/>
      <c r="H12" s="97"/>
      <c r="I12" s="97"/>
      <c r="J12" s="97"/>
      <c r="K12" s="98"/>
      <c r="L12" s="1"/>
      <c r="M12" s="145" t="str">
        <f>D14</f>
        <v>0x4B</v>
      </c>
      <c r="N12" s="1"/>
      <c r="O12" s="78"/>
    </row>
    <row r="13" spans="2:16" x14ac:dyDescent="0.25">
      <c r="B13" s="140"/>
      <c r="C13" s="143"/>
      <c r="D13" s="259" t="s">
        <v>161</v>
      </c>
      <c r="E13" s="260"/>
      <c r="F13" s="260"/>
      <c r="G13" s="260"/>
      <c r="H13" s="260"/>
      <c r="I13" s="260"/>
      <c r="J13" s="260"/>
      <c r="K13" s="261"/>
      <c r="L13" s="1"/>
      <c r="M13" s="146"/>
      <c r="N13" s="1"/>
      <c r="O13" s="78"/>
    </row>
    <row r="14" spans="2:16" x14ac:dyDescent="0.25">
      <c r="B14" s="141"/>
      <c r="C14" s="144"/>
      <c r="D14" s="103" t="str">
        <f>"0x"&amp;DEC2HEX(FLOOR(G10*16/POWER(2,8),1),2)</f>
        <v>0x4B</v>
      </c>
      <c r="E14" s="104"/>
      <c r="F14" s="104"/>
      <c r="G14" s="104"/>
      <c r="H14" s="104"/>
      <c r="I14" s="104"/>
      <c r="J14" s="104"/>
      <c r="K14" s="105"/>
      <c r="L14" s="1"/>
      <c r="M14" s="134"/>
      <c r="N14" s="1"/>
      <c r="O14" s="78"/>
    </row>
    <row r="15" spans="2:16" x14ac:dyDescent="0.25">
      <c r="B15" s="136" t="s">
        <v>162</v>
      </c>
      <c r="C15" s="131" t="s">
        <v>121</v>
      </c>
      <c r="D15" s="272" t="s">
        <v>163</v>
      </c>
      <c r="E15" s="273"/>
      <c r="F15" s="273"/>
      <c r="G15" s="273"/>
      <c r="H15" s="273"/>
      <c r="I15" s="273"/>
      <c r="J15" s="273"/>
      <c r="K15" s="274"/>
      <c r="L15" s="275"/>
      <c r="M15" s="276" t="s">
        <v>12</v>
      </c>
      <c r="N15" s="24"/>
      <c r="O15" s="78"/>
    </row>
    <row r="16" spans="2:16" x14ac:dyDescent="0.25">
      <c r="B16" s="137"/>
      <c r="C16" s="138"/>
      <c r="D16" s="277" t="s">
        <v>164</v>
      </c>
      <c r="E16" s="278"/>
      <c r="F16" s="278"/>
      <c r="G16" s="278"/>
      <c r="H16" s="278"/>
      <c r="I16" s="278"/>
      <c r="J16" s="278"/>
      <c r="K16" s="279"/>
      <c r="L16" s="280"/>
      <c r="M16" s="281"/>
      <c r="N16" s="1"/>
      <c r="O16" s="78"/>
    </row>
    <row r="17" spans="2:15" x14ac:dyDescent="0.25">
      <c r="B17" s="136" t="s">
        <v>175</v>
      </c>
      <c r="C17" s="142" t="s">
        <v>122</v>
      </c>
      <c r="D17" s="265" t="s">
        <v>11</v>
      </c>
      <c r="E17" s="91" t="s">
        <v>165</v>
      </c>
      <c r="F17" s="91"/>
      <c r="G17" s="91"/>
      <c r="H17" s="70" t="s">
        <v>171</v>
      </c>
      <c r="I17" s="70" t="s">
        <v>172</v>
      </c>
      <c r="J17" s="70" t="s">
        <v>173</v>
      </c>
      <c r="K17" s="58" t="s">
        <v>174</v>
      </c>
      <c r="L17" s="24"/>
      <c r="M17" s="145" t="str">
        <f>"0x"&amp;BIN2HEX(CONCATENATE(D20,E20,H20,I20,J20,K20),2)</f>
        <v>0x58</v>
      </c>
      <c r="N17" s="24"/>
      <c r="O17" s="78"/>
    </row>
    <row r="18" spans="2:15" x14ac:dyDescent="0.25">
      <c r="B18" s="136"/>
      <c r="C18" s="143"/>
      <c r="D18" s="266"/>
      <c r="E18" s="268" t="s">
        <v>166</v>
      </c>
      <c r="F18" s="268"/>
      <c r="G18" s="268"/>
      <c r="H18" s="247" t="s">
        <v>167</v>
      </c>
      <c r="I18" s="247" t="s">
        <v>168</v>
      </c>
      <c r="J18" s="247" t="s">
        <v>169</v>
      </c>
      <c r="K18" s="269" t="s">
        <v>170</v>
      </c>
      <c r="L18" s="32"/>
      <c r="M18" s="146"/>
      <c r="N18" s="32"/>
      <c r="O18" s="78"/>
    </row>
    <row r="19" spans="2:15" x14ac:dyDescent="0.25">
      <c r="B19" s="136"/>
      <c r="C19" s="143"/>
      <c r="D19" s="266"/>
      <c r="E19" s="85"/>
      <c r="F19" s="85"/>
      <c r="G19" s="85"/>
      <c r="H19" s="270"/>
      <c r="I19" s="270"/>
      <c r="J19" s="270"/>
      <c r="K19" s="271"/>
      <c r="L19" s="1"/>
      <c r="M19" s="146"/>
      <c r="N19" s="1"/>
      <c r="O19" s="78"/>
    </row>
    <row r="20" spans="2:15" x14ac:dyDescent="0.25">
      <c r="B20" s="137"/>
      <c r="C20" s="144"/>
      <c r="D20" s="267">
        <v>0</v>
      </c>
      <c r="E20" s="118" t="str">
        <f>DEC2BIN(E91-1,3)</f>
        <v>101</v>
      </c>
      <c r="F20" s="118"/>
      <c r="G20" s="118"/>
      <c r="H20" s="64">
        <f>IF(H85,1,0)</f>
        <v>1</v>
      </c>
      <c r="I20" s="64">
        <f>I87-1</f>
        <v>0</v>
      </c>
      <c r="J20" s="64">
        <f>IF(J85,1,0)</f>
        <v>0</v>
      </c>
      <c r="K20" s="66">
        <f>K87-1</f>
        <v>0</v>
      </c>
      <c r="L20" s="1"/>
      <c r="M20" s="134"/>
      <c r="N20" s="1"/>
      <c r="O20" s="78"/>
    </row>
    <row r="21" spans="2:15" ht="17.25" x14ac:dyDescent="0.25">
      <c r="B21" s="136" t="s">
        <v>193</v>
      </c>
      <c r="C21" s="131" t="s">
        <v>123</v>
      </c>
      <c r="D21" s="69" t="s">
        <v>186</v>
      </c>
      <c r="E21" s="70" t="s">
        <v>187</v>
      </c>
      <c r="F21" s="70" t="s">
        <v>188</v>
      </c>
      <c r="G21" s="70" t="s">
        <v>189</v>
      </c>
      <c r="H21" s="70" t="s">
        <v>190</v>
      </c>
      <c r="I21" s="70" t="s">
        <v>191</v>
      </c>
      <c r="J21" s="92" t="s">
        <v>11</v>
      </c>
      <c r="K21" s="58" t="s">
        <v>192</v>
      </c>
      <c r="L21" s="24"/>
      <c r="M21" s="134" t="str">
        <f>"0x"&amp;BIN2HEX(CONCATENATE(D24,E24,F24,G24,H24,I24,J24,K24),2)</f>
        <v>0x11</v>
      </c>
      <c r="N21" s="24"/>
      <c r="O21" s="78"/>
    </row>
    <row r="22" spans="2:15" x14ac:dyDescent="0.25">
      <c r="B22" s="136"/>
      <c r="C22" s="131"/>
      <c r="D22" s="29" t="s">
        <v>179</v>
      </c>
      <c r="E22" s="247" t="s">
        <v>180</v>
      </c>
      <c r="F22" s="247" t="s">
        <v>181</v>
      </c>
      <c r="G22" s="247" t="s">
        <v>182</v>
      </c>
      <c r="H22" s="247" t="s">
        <v>183</v>
      </c>
      <c r="I22" s="247" t="s">
        <v>184</v>
      </c>
      <c r="J22" s="93"/>
      <c r="K22" s="269" t="s">
        <v>185</v>
      </c>
      <c r="L22" s="32"/>
      <c r="M22" s="134"/>
      <c r="N22" s="32"/>
      <c r="O22" s="78"/>
    </row>
    <row r="23" spans="2:15" x14ac:dyDescent="0.25">
      <c r="B23" s="136"/>
      <c r="C23" s="131"/>
      <c r="D23" s="71"/>
      <c r="E23" s="72"/>
      <c r="F23" s="72"/>
      <c r="G23" s="72"/>
      <c r="H23" s="72"/>
      <c r="I23" s="72"/>
      <c r="J23" s="93"/>
      <c r="K23" s="67"/>
      <c r="L23" s="1"/>
      <c r="M23" s="134"/>
      <c r="N23" s="1"/>
      <c r="O23" s="78"/>
    </row>
    <row r="24" spans="2:15" x14ac:dyDescent="0.25">
      <c r="B24" s="137"/>
      <c r="C24" s="138"/>
      <c r="D24" s="30">
        <f>IF(D94,1,0)</f>
        <v>0</v>
      </c>
      <c r="E24" s="64">
        <f t="shared" ref="E24:I24" si="1">IF(E94,1,0)</f>
        <v>0</v>
      </c>
      <c r="F24" s="64">
        <f t="shared" si="1"/>
        <v>0</v>
      </c>
      <c r="G24" s="64">
        <f t="shared" si="1"/>
        <v>1</v>
      </c>
      <c r="H24" s="64">
        <f>IF(H94,0,1)</f>
        <v>0</v>
      </c>
      <c r="I24" s="64">
        <f t="shared" si="1"/>
        <v>0</v>
      </c>
      <c r="J24" s="264">
        <v>0</v>
      </c>
      <c r="K24" s="66">
        <f>IF(K94,1,0)</f>
        <v>1</v>
      </c>
      <c r="L24" s="1"/>
      <c r="M24" s="133"/>
      <c r="N24" s="1"/>
      <c r="O24" s="78"/>
    </row>
    <row r="25" spans="2:15" x14ac:dyDescent="0.25">
      <c r="B25" s="136" t="s">
        <v>194</v>
      </c>
      <c r="C25" s="142" t="s">
        <v>124</v>
      </c>
      <c r="D25" s="69" t="s">
        <v>90</v>
      </c>
      <c r="E25" s="56" t="s">
        <v>202</v>
      </c>
      <c r="F25" s="56" t="s">
        <v>203</v>
      </c>
      <c r="G25" s="56" t="s">
        <v>204</v>
      </c>
      <c r="H25" s="70" t="s">
        <v>205</v>
      </c>
      <c r="I25" s="70" t="s">
        <v>206</v>
      </c>
      <c r="J25" s="91" t="s">
        <v>214</v>
      </c>
      <c r="K25" s="289"/>
      <c r="L25" s="24"/>
      <c r="M25" s="134" t="str">
        <f>"0x"&amp;BIN2HEX(CONCATENATE(D28,E28,F28,G28,H28,I28,J28),2)</f>
        <v>0x3C</v>
      </c>
      <c r="N25" s="24"/>
      <c r="O25" s="78"/>
    </row>
    <row r="26" spans="2:15" x14ac:dyDescent="0.25">
      <c r="B26" s="136"/>
      <c r="C26" s="143"/>
      <c r="D26" s="29" t="s">
        <v>195</v>
      </c>
      <c r="E26" s="28" t="s">
        <v>196</v>
      </c>
      <c r="F26" s="28" t="s">
        <v>197</v>
      </c>
      <c r="G26" s="28" t="s">
        <v>198</v>
      </c>
      <c r="H26" s="247" t="s">
        <v>199</v>
      </c>
      <c r="I26" s="247" t="s">
        <v>200</v>
      </c>
      <c r="J26" s="268" t="s">
        <v>201</v>
      </c>
      <c r="K26" s="290"/>
      <c r="L26" s="32"/>
      <c r="M26" s="134"/>
      <c r="N26" s="32"/>
      <c r="O26" s="78"/>
    </row>
    <row r="27" spans="2:15" x14ac:dyDescent="0.25">
      <c r="B27" s="136"/>
      <c r="C27" s="143"/>
      <c r="D27" s="71"/>
      <c r="E27" s="72"/>
      <c r="F27" s="72"/>
      <c r="G27" s="72"/>
      <c r="H27" s="72"/>
      <c r="I27" s="72"/>
      <c r="J27" s="85"/>
      <c r="K27" s="291"/>
      <c r="L27" s="1"/>
      <c r="M27" s="134"/>
      <c r="N27" s="1"/>
      <c r="O27" s="78"/>
    </row>
    <row r="28" spans="2:15" x14ac:dyDescent="0.25">
      <c r="B28" s="137"/>
      <c r="C28" s="144"/>
      <c r="D28" s="30">
        <f>D99-1</f>
        <v>0</v>
      </c>
      <c r="E28" s="64">
        <f>E99-1</f>
        <v>0</v>
      </c>
      <c r="F28" s="64">
        <f>IF(F97,1,0)</f>
        <v>1</v>
      </c>
      <c r="G28" s="64">
        <f t="shared" ref="G28:I28" si="2">IF(G97,1,0)</f>
        <v>1</v>
      </c>
      <c r="H28" s="64">
        <f t="shared" si="2"/>
        <v>1</v>
      </c>
      <c r="I28" s="64">
        <f t="shared" si="2"/>
        <v>1</v>
      </c>
      <c r="J28" s="118" t="str">
        <f>DEC2BIN(J101-1,2)</f>
        <v>00</v>
      </c>
      <c r="K28" s="292"/>
      <c r="L28" s="1"/>
      <c r="M28" s="133"/>
      <c r="N28" s="1"/>
      <c r="O28" s="78"/>
    </row>
    <row r="29" spans="2:15" x14ac:dyDescent="0.25">
      <c r="B29" s="136"/>
      <c r="C29" s="131" t="s">
        <v>125</v>
      </c>
      <c r="D29" s="210"/>
      <c r="E29" s="219"/>
      <c r="F29" s="219"/>
      <c r="G29" s="219"/>
      <c r="H29" s="219"/>
      <c r="I29" s="192"/>
      <c r="J29" s="192"/>
      <c r="K29" s="193"/>
      <c r="L29" s="24"/>
      <c r="M29" s="134"/>
      <c r="N29" s="24"/>
      <c r="O29" s="78"/>
    </row>
    <row r="30" spans="2:15" x14ac:dyDescent="0.25">
      <c r="B30" s="136"/>
      <c r="C30" s="131"/>
      <c r="D30" s="220"/>
      <c r="E30" s="221"/>
      <c r="F30" s="221"/>
      <c r="G30" s="221"/>
      <c r="H30" s="221"/>
      <c r="I30" s="184"/>
      <c r="J30" s="184"/>
      <c r="K30" s="185"/>
      <c r="L30" s="1"/>
      <c r="M30" s="134"/>
      <c r="N30" s="35"/>
      <c r="O30" s="78"/>
    </row>
    <row r="31" spans="2:15" x14ac:dyDescent="0.25">
      <c r="B31" s="137"/>
      <c r="C31" s="138"/>
      <c r="D31" s="216"/>
      <c r="E31" s="217"/>
      <c r="F31" s="217"/>
      <c r="G31" s="217"/>
      <c r="H31" s="217"/>
      <c r="I31" s="186"/>
      <c r="J31" s="187"/>
      <c r="K31" s="188"/>
      <c r="L31" s="1"/>
      <c r="M31" s="133"/>
      <c r="N31" s="1"/>
      <c r="O31" s="78"/>
    </row>
    <row r="32" spans="2:15" ht="15.75" thickBot="1" x14ac:dyDescent="0.3">
      <c r="B32" s="139"/>
      <c r="C32" s="142" t="s">
        <v>126</v>
      </c>
      <c r="D32" s="189"/>
      <c r="E32" s="190"/>
      <c r="F32" s="190"/>
      <c r="G32" s="190"/>
      <c r="H32" s="190"/>
      <c r="I32" s="190"/>
      <c r="J32" s="190"/>
      <c r="K32" s="191"/>
      <c r="L32" s="24"/>
      <c r="M32" s="134"/>
      <c r="N32" s="36"/>
      <c r="O32" s="78"/>
    </row>
    <row r="33" spans="2:15" ht="15.75" thickTop="1" x14ac:dyDescent="0.25">
      <c r="B33" s="140"/>
      <c r="C33" s="143"/>
      <c r="D33" s="194"/>
      <c r="E33" s="195"/>
      <c r="F33" s="195"/>
      <c r="G33" s="209"/>
      <c r="H33" s="196"/>
      <c r="I33" s="196"/>
      <c r="J33" s="196"/>
      <c r="K33" s="197"/>
      <c r="L33" s="1"/>
      <c r="M33" s="134"/>
      <c r="O33" s="78"/>
    </row>
    <row r="34" spans="2:15" x14ac:dyDescent="0.25">
      <c r="B34" s="141"/>
      <c r="C34" s="144"/>
      <c r="D34" s="198"/>
      <c r="E34" s="199"/>
      <c r="F34" s="199"/>
      <c r="G34" s="199"/>
      <c r="H34" s="199"/>
      <c r="I34" s="199"/>
      <c r="J34" s="199"/>
      <c r="K34" s="200"/>
      <c r="L34" s="1"/>
      <c r="M34" s="133"/>
      <c r="O34" s="78"/>
    </row>
    <row r="35" spans="2:15" x14ac:dyDescent="0.25">
      <c r="B35" s="136"/>
      <c r="C35" s="131" t="s">
        <v>127</v>
      </c>
      <c r="D35" s="189"/>
      <c r="E35" s="190"/>
      <c r="F35" s="190"/>
      <c r="G35" s="190"/>
      <c r="H35" s="190"/>
      <c r="I35" s="190"/>
      <c r="J35" s="190"/>
      <c r="K35" s="191"/>
      <c r="L35" s="24"/>
      <c r="M35" s="134"/>
      <c r="O35" s="78"/>
    </row>
    <row r="36" spans="2:15" hidden="1" x14ac:dyDescent="0.25">
      <c r="B36" s="136"/>
      <c r="C36" s="131"/>
      <c r="D36" s="194"/>
      <c r="E36" s="195"/>
      <c r="F36" s="195"/>
      <c r="G36" s="208"/>
      <c r="H36" s="196"/>
      <c r="I36" s="196"/>
      <c r="J36" s="196"/>
      <c r="K36" s="197"/>
      <c r="L36" s="1"/>
      <c r="M36" s="134"/>
      <c r="O36" s="78"/>
    </row>
    <row r="37" spans="2:15" hidden="1" x14ac:dyDescent="0.25">
      <c r="B37" s="137"/>
      <c r="C37" s="138"/>
      <c r="D37" s="198"/>
      <c r="E37" s="199"/>
      <c r="F37" s="199"/>
      <c r="G37" s="199"/>
      <c r="H37" s="199"/>
      <c r="I37" s="199"/>
      <c r="J37" s="199"/>
      <c r="K37" s="200"/>
      <c r="L37" s="1"/>
      <c r="M37" s="133"/>
      <c r="O37" s="78"/>
    </row>
    <row r="38" spans="2:15" hidden="1" x14ac:dyDescent="0.25">
      <c r="B38" s="136"/>
      <c r="C38" s="130" t="s">
        <v>128</v>
      </c>
      <c r="D38" s="189"/>
      <c r="E38" s="190"/>
      <c r="F38" s="190"/>
      <c r="G38" s="190"/>
      <c r="H38" s="190"/>
      <c r="I38" s="190"/>
      <c r="J38" s="190"/>
      <c r="K38" s="191"/>
      <c r="L38" s="24"/>
      <c r="M38" s="134"/>
      <c r="O38" s="78"/>
    </row>
    <row r="39" spans="2:15" hidden="1" x14ac:dyDescent="0.25">
      <c r="B39" s="136"/>
      <c r="C39" s="131"/>
      <c r="D39" s="194"/>
      <c r="E39" s="195"/>
      <c r="F39" s="195"/>
      <c r="G39" s="207"/>
      <c r="H39" s="201"/>
      <c r="I39" s="201"/>
      <c r="J39" s="201"/>
      <c r="K39" s="202"/>
      <c r="L39" s="1"/>
      <c r="M39" s="134"/>
      <c r="O39" s="78"/>
    </row>
    <row r="40" spans="2:15" hidden="1" x14ac:dyDescent="0.25">
      <c r="B40" s="137"/>
      <c r="C40" s="138"/>
      <c r="D40" s="198"/>
      <c r="E40" s="199"/>
      <c r="F40" s="199"/>
      <c r="G40" s="199"/>
      <c r="H40" s="199"/>
      <c r="I40" s="199"/>
      <c r="J40" s="199"/>
      <c r="K40" s="200"/>
      <c r="L40" s="1"/>
      <c r="M40" s="133"/>
      <c r="O40" s="78"/>
    </row>
    <row r="41" spans="2:15" hidden="1" x14ac:dyDescent="0.25">
      <c r="B41" s="136"/>
      <c r="C41" s="131" t="s">
        <v>129</v>
      </c>
      <c r="D41" s="189"/>
      <c r="E41" s="190"/>
      <c r="F41" s="190"/>
      <c r="G41" s="190"/>
      <c r="H41" s="190"/>
      <c r="I41" s="190"/>
      <c r="J41" s="190"/>
      <c r="K41" s="191"/>
      <c r="L41" s="24"/>
      <c r="M41" s="134"/>
      <c r="O41" s="78"/>
    </row>
    <row r="42" spans="2:15" hidden="1" x14ac:dyDescent="0.25">
      <c r="B42" s="136"/>
      <c r="C42" s="131"/>
      <c r="D42" s="194"/>
      <c r="E42" s="195"/>
      <c r="F42" s="195"/>
      <c r="G42" s="207"/>
      <c r="H42" s="201"/>
      <c r="I42" s="201"/>
      <c r="J42" s="201"/>
      <c r="K42" s="202"/>
      <c r="L42" s="1"/>
      <c r="M42" s="134"/>
      <c r="O42" s="78"/>
    </row>
    <row r="43" spans="2:15" hidden="1" x14ac:dyDescent="0.25">
      <c r="B43" s="137"/>
      <c r="C43" s="138"/>
      <c r="D43" s="198"/>
      <c r="E43" s="199"/>
      <c r="F43" s="199"/>
      <c r="G43" s="199"/>
      <c r="H43" s="199"/>
      <c r="I43" s="199"/>
      <c r="J43" s="199"/>
      <c r="K43" s="200"/>
      <c r="L43" s="1"/>
      <c r="M43" s="133"/>
      <c r="O43" s="78"/>
    </row>
    <row r="44" spans="2:15" hidden="1" x14ac:dyDescent="0.25">
      <c r="B44" s="136"/>
      <c r="C44" s="130" t="s">
        <v>130</v>
      </c>
      <c r="D44" s="189"/>
      <c r="E44" s="190"/>
      <c r="F44" s="190"/>
      <c r="G44" s="190"/>
      <c r="H44" s="190"/>
      <c r="I44" s="190"/>
      <c r="J44" s="190"/>
      <c r="K44" s="191"/>
      <c r="L44" s="24"/>
      <c r="M44" s="134"/>
      <c r="O44" s="78"/>
    </row>
    <row r="45" spans="2:15" hidden="1" x14ac:dyDescent="0.25">
      <c r="B45" s="136"/>
      <c r="C45" s="131"/>
      <c r="D45" s="194"/>
      <c r="E45" s="195"/>
      <c r="F45" s="195"/>
      <c r="G45" s="206"/>
      <c r="H45" s="201"/>
      <c r="I45" s="201"/>
      <c r="J45" s="201"/>
      <c r="K45" s="202"/>
      <c r="L45" s="1"/>
      <c r="M45" s="134"/>
      <c r="O45" s="78"/>
    </row>
    <row r="46" spans="2:15" hidden="1" x14ac:dyDescent="0.25">
      <c r="B46" s="137"/>
      <c r="C46" s="138"/>
      <c r="D46" s="203"/>
      <c r="E46" s="204"/>
      <c r="F46" s="204"/>
      <c r="G46" s="204"/>
      <c r="H46" s="204"/>
      <c r="I46" s="204"/>
      <c r="J46" s="204"/>
      <c r="K46" s="205"/>
      <c r="L46" s="1"/>
      <c r="M46" s="133"/>
      <c r="O46" s="78"/>
    </row>
    <row r="47" spans="2:15" hidden="1" x14ac:dyDescent="0.25">
      <c r="B47" s="136"/>
      <c r="C47" s="131" t="s">
        <v>131</v>
      </c>
      <c r="D47" s="189"/>
      <c r="E47" s="190"/>
      <c r="F47" s="190"/>
      <c r="G47" s="190"/>
      <c r="H47" s="190"/>
      <c r="I47" s="190"/>
      <c r="J47" s="190"/>
      <c r="K47" s="191"/>
      <c r="L47" s="24"/>
      <c r="M47" s="134"/>
      <c r="O47" s="78"/>
    </row>
    <row r="48" spans="2:15" hidden="1" x14ac:dyDescent="0.25">
      <c r="B48" s="136"/>
      <c r="C48" s="131"/>
      <c r="D48" s="194"/>
      <c r="E48" s="195"/>
      <c r="F48" s="195"/>
      <c r="G48" s="206"/>
      <c r="H48" s="201"/>
      <c r="I48" s="201"/>
      <c r="J48" s="201"/>
      <c r="K48" s="202"/>
      <c r="L48" s="1"/>
      <c r="M48" s="134"/>
      <c r="O48" s="78"/>
    </row>
    <row r="49" spans="2:15" hidden="1" x14ac:dyDescent="0.25">
      <c r="B49" s="137"/>
      <c r="C49" s="138"/>
      <c r="D49" s="203"/>
      <c r="E49" s="204"/>
      <c r="F49" s="204"/>
      <c r="G49" s="204"/>
      <c r="H49" s="204"/>
      <c r="I49" s="204"/>
      <c r="J49" s="204"/>
      <c r="K49" s="205"/>
      <c r="L49" s="1"/>
      <c r="M49" s="133"/>
      <c r="O49" s="78"/>
    </row>
    <row r="50" spans="2:15" hidden="1" x14ac:dyDescent="0.25">
      <c r="B50" s="139"/>
      <c r="C50" s="142" t="s">
        <v>132</v>
      </c>
      <c r="D50" s="210"/>
      <c r="E50" s="211"/>
      <c r="F50" s="211"/>
      <c r="G50" s="211"/>
      <c r="H50" s="212"/>
      <c r="I50" s="212"/>
      <c r="J50" s="212"/>
      <c r="K50" s="213"/>
      <c r="L50" s="24"/>
      <c r="M50" s="145"/>
      <c r="O50" s="78"/>
    </row>
    <row r="51" spans="2:15" hidden="1" x14ac:dyDescent="0.25">
      <c r="B51" s="140"/>
      <c r="C51" s="143"/>
      <c r="D51" s="194"/>
      <c r="E51" s="214"/>
      <c r="F51" s="214"/>
      <c r="G51" s="214"/>
      <c r="H51" s="195"/>
      <c r="I51" s="195"/>
      <c r="J51" s="195"/>
      <c r="K51" s="215"/>
      <c r="L51" s="1"/>
      <c r="M51" s="146"/>
      <c r="O51" s="78"/>
    </row>
    <row r="52" spans="2:15" hidden="1" x14ac:dyDescent="0.25">
      <c r="B52" s="141"/>
      <c r="C52" s="144"/>
      <c r="D52" s="216"/>
      <c r="E52" s="199"/>
      <c r="F52" s="199"/>
      <c r="G52" s="199"/>
      <c r="H52" s="217"/>
      <c r="I52" s="217"/>
      <c r="J52" s="217"/>
      <c r="K52" s="218"/>
      <c r="L52" s="1"/>
      <c r="M52" s="134"/>
      <c r="O52" s="78"/>
    </row>
    <row r="53" spans="2:15" hidden="1" x14ac:dyDescent="0.25">
      <c r="B53" s="136"/>
      <c r="C53" s="131" t="s">
        <v>133</v>
      </c>
      <c r="D53" s="189"/>
      <c r="E53" s="190"/>
      <c r="F53" s="190"/>
      <c r="G53" s="190"/>
      <c r="H53" s="190"/>
      <c r="I53" s="190"/>
      <c r="J53" s="190"/>
      <c r="K53" s="191"/>
      <c r="L53" s="24"/>
      <c r="M53" s="134"/>
      <c r="O53" s="78"/>
    </row>
    <row r="54" spans="2:15" hidden="1" x14ac:dyDescent="0.25">
      <c r="B54" s="136"/>
      <c r="C54" s="131"/>
      <c r="D54" s="194"/>
      <c r="E54" s="195"/>
      <c r="F54" s="195"/>
      <c r="G54" s="208"/>
      <c r="H54" s="196"/>
      <c r="I54" s="196"/>
      <c r="J54" s="196"/>
      <c r="K54" s="197"/>
      <c r="L54" s="1"/>
      <c r="M54" s="134"/>
      <c r="N54" s="1"/>
      <c r="O54" s="78"/>
    </row>
    <row r="55" spans="2:15" hidden="1" x14ac:dyDescent="0.25">
      <c r="B55" s="137"/>
      <c r="C55" s="138"/>
      <c r="D55" s="198"/>
      <c r="E55" s="199"/>
      <c r="F55" s="199"/>
      <c r="G55" s="199"/>
      <c r="H55" s="199"/>
      <c r="I55" s="199"/>
      <c r="J55" s="199"/>
      <c r="K55" s="200"/>
      <c r="L55" s="1"/>
      <c r="M55" s="133"/>
      <c r="N55" s="1"/>
      <c r="O55" s="78"/>
    </row>
    <row r="56" spans="2:15" hidden="1" x14ac:dyDescent="0.25">
      <c r="B56" s="136"/>
      <c r="C56" s="130" t="s">
        <v>134</v>
      </c>
      <c r="D56" s="189"/>
      <c r="E56" s="190"/>
      <c r="F56" s="190"/>
      <c r="G56" s="190"/>
      <c r="H56" s="190"/>
      <c r="I56" s="190"/>
      <c r="J56" s="190"/>
      <c r="K56" s="191"/>
      <c r="L56" s="24"/>
      <c r="M56" s="134"/>
      <c r="N56" s="24"/>
      <c r="O56" s="78"/>
    </row>
    <row r="57" spans="2:15" hidden="1" x14ac:dyDescent="0.25">
      <c r="B57" s="136"/>
      <c r="C57" s="131"/>
      <c r="D57" s="194"/>
      <c r="E57" s="195"/>
      <c r="F57" s="195"/>
      <c r="G57" s="207"/>
      <c r="H57" s="201"/>
      <c r="I57" s="201"/>
      <c r="J57" s="201"/>
      <c r="K57" s="202"/>
      <c r="L57" s="1"/>
      <c r="M57" s="134"/>
      <c r="N57" s="1"/>
      <c r="O57" s="78"/>
    </row>
    <row r="58" spans="2:15" hidden="1" x14ac:dyDescent="0.25">
      <c r="B58" s="137"/>
      <c r="C58" s="138"/>
      <c r="D58" s="198"/>
      <c r="E58" s="199"/>
      <c r="F58" s="199"/>
      <c r="G58" s="199"/>
      <c r="H58" s="199"/>
      <c r="I58" s="199"/>
      <c r="J58" s="199"/>
      <c r="K58" s="200"/>
      <c r="L58" s="1"/>
      <c r="M58" s="133"/>
      <c r="N58" s="1"/>
      <c r="O58" s="78"/>
    </row>
    <row r="59" spans="2:15" hidden="1" x14ac:dyDescent="0.25">
      <c r="B59" s="136"/>
      <c r="C59" s="131" t="s">
        <v>135</v>
      </c>
      <c r="D59" s="189"/>
      <c r="E59" s="190"/>
      <c r="F59" s="190"/>
      <c r="G59" s="190"/>
      <c r="H59" s="190"/>
      <c r="I59" s="190"/>
      <c r="J59" s="190"/>
      <c r="K59" s="191"/>
      <c r="L59" s="24"/>
      <c r="M59" s="134"/>
      <c r="N59" s="24"/>
      <c r="O59" s="78"/>
    </row>
    <row r="60" spans="2:15" hidden="1" x14ac:dyDescent="0.25">
      <c r="B60" s="136"/>
      <c r="C60" s="131"/>
      <c r="D60" s="194"/>
      <c r="E60" s="195"/>
      <c r="F60" s="195"/>
      <c r="G60" s="207"/>
      <c r="H60" s="201"/>
      <c r="I60" s="201"/>
      <c r="J60" s="201"/>
      <c r="K60" s="202"/>
      <c r="L60" s="1"/>
      <c r="M60" s="134"/>
      <c r="N60" s="1"/>
      <c r="O60" s="78"/>
    </row>
    <row r="61" spans="2:15" hidden="1" x14ac:dyDescent="0.25">
      <c r="B61" s="137"/>
      <c r="C61" s="138"/>
      <c r="D61" s="198"/>
      <c r="E61" s="199"/>
      <c r="F61" s="199"/>
      <c r="G61" s="199"/>
      <c r="H61" s="199"/>
      <c r="I61" s="199"/>
      <c r="J61" s="199"/>
      <c r="K61" s="200"/>
      <c r="L61" s="1"/>
      <c r="M61" s="133"/>
      <c r="N61" s="1"/>
      <c r="O61" s="78"/>
    </row>
    <row r="62" spans="2:15" hidden="1" x14ac:dyDescent="0.25">
      <c r="B62" s="136"/>
      <c r="C62" s="130" t="s">
        <v>136</v>
      </c>
      <c r="D62" s="189"/>
      <c r="E62" s="190"/>
      <c r="F62" s="190"/>
      <c r="G62" s="190"/>
      <c r="H62" s="190"/>
      <c r="I62" s="190"/>
      <c r="J62" s="190"/>
      <c r="K62" s="191"/>
      <c r="L62" s="24"/>
      <c r="M62" s="134"/>
      <c r="N62" s="24"/>
      <c r="O62" s="78"/>
    </row>
    <row r="63" spans="2:15" hidden="1" x14ac:dyDescent="0.25">
      <c r="B63" s="136"/>
      <c r="C63" s="131"/>
      <c r="D63" s="194"/>
      <c r="E63" s="195"/>
      <c r="F63" s="195"/>
      <c r="G63" s="206"/>
      <c r="H63" s="201"/>
      <c r="I63" s="201"/>
      <c r="J63" s="201"/>
      <c r="K63" s="202"/>
      <c r="L63" s="1"/>
      <c r="M63" s="134"/>
      <c r="N63" s="1"/>
      <c r="O63" s="78"/>
    </row>
    <row r="64" spans="2:15" hidden="1" x14ac:dyDescent="0.25">
      <c r="B64" s="137"/>
      <c r="C64" s="138"/>
      <c r="D64" s="203"/>
      <c r="E64" s="204"/>
      <c r="F64" s="204"/>
      <c r="G64" s="204"/>
      <c r="H64" s="204"/>
      <c r="I64" s="204"/>
      <c r="J64" s="204"/>
      <c r="K64" s="205"/>
      <c r="L64" s="1"/>
      <c r="M64" s="133"/>
      <c r="N64" s="1"/>
      <c r="O64" s="78"/>
    </row>
    <row r="65" spans="2:15" hidden="1" x14ac:dyDescent="0.25">
      <c r="B65" s="136"/>
      <c r="C65" s="131" t="s">
        <v>137</v>
      </c>
      <c r="D65" s="189"/>
      <c r="E65" s="190"/>
      <c r="F65" s="190"/>
      <c r="G65" s="190"/>
      <c r="H65" s="190"/>
      <c r="I65" s="190"/>
      <c r="J65" s="190"/>
      <c r="K65" s="191"/>
      <c r="L65" s="24"/>
      <c r="M65" s="134"/>
      <c r="N65" s="24"/>
      <c r="O65" s="78"/>
    </row>
    <row r="66" spans="2:15" hidden="1" x14ac:dyDescent="0.25">
      <c r="B66" s="136"/>
      <c r="C66" s="131"/>
      <c r="D66" s="194"/>
      <c r="E66" s="195"/>
      <c r="F66" s="195"/>
      <c r="G66" s="206"/>
      <c r="H66" s="201"/>
      <c r="I66" s="201"/>
      <c r="J66" s="201"/>
      <c r="K66" s="202"/>
      <c r="L66" s="1"/>
      <c r="M66" s="134"/>
      <c r="N66" s="1"/>
      <c r="O66" s="78"/>
    </row>
    <row r="67" spans="2:15" hidden="1" x14ac:dyDescent="0.25">
      <c r="B67" s="137"/>
      <c r="C67" s="138"/>
      <c r="D67" s="203"/>
      <c r="E67" s="204"/>
      <c r="F67" s="204"/>
      <c r="G67" s="204"/>
      <c r="H67" s="204"/>
      <c r="I67" s="204"/>
      <c r="J67" s="204"/>
      <c r="K67" s="205"/>
      <c r="L67" s="1"/>
      <c r="M67" s="133"/>
      <c r="N67" s="1"/>
      <c r="O67" s="78"/>
    </row>
    <row r="68" spans="2:15" hidden="1" x14ac:dyDescent="0.25">
      <c r="B68" s="139"/>
      <c r="C68" s="142" t="s">
        <v>138</v>
      </c>
      <c r="D68" s="210"/>
      <c r="E68" s="211"/>
      <c r="F68" s="211"/>
      <c r="G68" s="211"/>
      <c r="H68" s="212"/>
      <c r="I68" s="212"/>
      <c r="J68" s="212"/>
      <c r="K68" s="213"/>
      <c r="L68" s="24"/>
      <c r="M68" s="145"/>
      <c r="N68" s="24"/>
      <c r="O68" s="78"/>
    </row>
    <row r="69" spans="2:15" hidden="1" x14ac:dyDescent="0.25">
      <c r="B69" s="140"/>
      <c r="C69" s="143"/>
      <c r="D69" s="194"/>
      <c r="E69" s="214"/>
      <c r="F69" s="214"/>
      <c r="G69" s="214"/>
      <c r="H69" s="195"/>
      <c r="I69" s="195"/>
      <c r="J69" s="195"/>
      <c r="K69" s="215"/>
      <c r="L69" s="1"/>
      <c r="M69" s="146"/>
      <c r="N69" s="1"/>
      <c r="O69" s="78"/>
    </row>
    <row r="70" spans="2:15" hidden="1" x14ac:dyDescent="0.25">
      <c r="B70" s="141"/>
      <c r="C70" s="144"/>
      <c r="D70" s="216"/>
      <c r="E70" s="199"/>
      <c r="F70" s="199"/>
      <c r="G70" s="199"/>
      <c r="H70" s="217"/>
      <c r="I70" s="217"/>
      <c r="J70" s="217"/>
      <c r="K70" s="218"/>
      <c r="L70" s="1"/>
      <c r="M70" s="134"/>
      <c r="N70" s="1"/>
      <c r="O70" s="78"/>
    </row>
    <row r="71" spans="2:15" hidden="1" x14ac:dyDescent="0.25">
      <c r="B71" s="136"/>
      <c r="C71" s="131" t="s">
        <v>139</v>
      </c>
      <c r="D71" s="210"/>
      <c r="E71" s="219"/>
      <c r="F71" s="219"/>
      <c r="G71" s="219"/>
      <c r="H71" s="219"/>
      <c r="I71" s="192"/>
      <c r="J71" s="192"/>
      <c r="K71" s="193"/>
      <c r="L71" s="24"/>
      <c r="M71" s="134"/>
      <c r="N71" s="24"/>
      <c r="O71" s="78"/>
    </row>
    <row r="72" spans="2:15" hidden="1" x14ac:dyDescent="0.25">
      <c r="B72" s="136"/>
      <c r="C72" s="131"/>
      <c r="D72" s="220"/>
      <c r="E72" s="221"/>
      <c r="F72" s="221"/>
      <c r="G72" s="221"/>
      <c r="H72" s="221"/>
      <c r="I72" s="184"/>
      <c r="J72" s="184"/>
      <c r="K72" s="185"/>
      <c r="L72" s="1"/>
      <c r="M72" s="134"/>
      <c r="N72" s="35"/>
      <c r="O72" s="78"/>
    </row>
    <row r="73" spans="2:15" hidden="1" x14ac:dyDescent="0.25">
      <c r="B73" s="137"/>
      <c r="C73" s="138"/>
      <c r="D73" s="216"/>
      <c r="E73" s="217"/>
      <c r="F73" s="217"/>
      <c r="G73" s="217"/>
      <c r="H73" s="217"/>
      <c r="I73" s="186"/>
      <c r="J73" s="187"/>
      <c r="K73" s="188"/>
      <c r="L73" s="1"/>
      <c r="M73" s="133"/>
      <c r="N73" s="1"/>
      <c r="O73" s="78"/>
    </row>
    <row r="74" spans="2:15" ht="15.75" hidden="1" thickBot="1" x14ac:dyDescent="0.3">
      <c r="B74" s="139"/>
      <c r="C74" s="142" t="s">
        <v>140</v>
      </c>
      <c r="D74" s="189"/>
      <c r="E74" s="190"/>
      <c r="F74" s="190"/>
      <c r="G74" s="190"/>
      <c r="H74" s="190"/>
      <c r="I74" s="190"/>
      <c r="J74" s="190"/>
      <c r="K74" s="191"/>
      <c r="L74" s="24"/>
      <c r="M74" s="134"/>
      <c r="N74" s="36"/>
      <c r="O74" s="78"/>
    </row>
    <row r="75" spans="2:15" hidden="1" x14ac:dyDescent="0.25">
      <c r="B75" s="140"/>
      <c r="C75" s="143"/>
      <c r="D75" s="194"/>
      <c r="E75" s="195"/>
      <c r="F75" s="195"/>
      <c r="G75" s="209"/>
      <c r="H75" s="196"/>
      <c r="I75" s="196"/>
      <c r="J75" s="196"/>
      <c r="K75" s="197"/>
      <c r="L75" s="1"/>
      <c r="M75" s="134"/>
    </row>
    <row r="76" spans="2:15" hidden="1" x14ac:dyDescent="0.25">
      <c r="B76" s="141"/>
      <c r="C76" s="144"/>
      <c r="D76" s="198"/>
      <c r="E76" s="199"/>
      <c r="F76" s="199"/>
      <c r="G76" s="199"/>
      <c r="H76" s="199"/>
      <c r="I76" s="199"/>
      <c r="J76" s="199"/>
      <c r="K76" s="200"/>
      <c r="L76" s="1"/>
      <c r="M76" s="133"/>
    </row>
    <row r="77" spans="2:15" hidden="1" x14ac:dyDescent="0.25">
      <c r="B77" s="147"/>
      <c r="C77" s="130" t="s">
        <v>141</v>
      </c>
      <c r="D77" s="189"/>
      <c r="E77" s="190"/>
      <c r="F77" s="222"/>
      <c r="G77" s="222"/>
      <c r="H77" s="223"/>
      <c r="I77" s="222"/>
      <c r="J77" s="222"/>
      <c r="K77" s="213"/>
      <c r="L77" s="24"/>
      <c r="M77" s="133"/>
    </row>
    <row r="78" spans="2:15" x14ac:dyDescent="0.25">
      <c r="B78" s="136"/>
      <c r="C78" s="131"/>
      <c r="D78" s="194"/>
      <c r="E78" s="195"/>
      <c r="F78" s="195"/>
      <c r="G78" s="195"/>
      <c r="H78" s="224"/>
      <c r="I78" s="195"/>
      <c r="J78" s="195"/>
      <c r="K78" s="225"/>
      <c r="L78" s="35"/>
      <c r="M78" s="134"/>
    </row>
    <row r="79" spans="2:15" ht="15.75" thickBot="1" x14ac:dyDescent="0.3">
      <c r="B79" s="148"/>
      <c r="C79" s="132"/>
      <c r="D79" s="226"/>
      <c r="E79" s="227"/>
      <c r="F79" s="228"/>
      <c r="G79" s="228"/>
      <c r="H79" s="229"/>
      <c r="I79" s="228"/>
      <c r="J79" s="228"/>
      <c r="K79" s="230"/>
      <c r="L79" s="1"/>
      <c r="M79" s="135"/>
    </row>
    <row r="80" spans="2:15" ht="16.5" thickTop="1" thickBot="1" x14ac:dyDescent="0.3">
      <c r="L80" s="36"/>
    </row>
    <row r="81" spans="2:14" ht="15.75" hidden="1" thickTop="1" x14ac:dyDescent="0.25">
      <c r="B81" s="248" t="str">
        <f>B4</f>
        <v>Interrupt Configuration</v>
      </c>
      <c r="C81" s="256" t="str">
        <f>C4</f>
        <v>0x0B</v>
      </c>
      <c r="D81" s="249" t="str">
        <f>D5</f>
        <v>AUTORIFP</v>
      </c>
      <c r="E81" s="249" t="str">
        <f t="shared" ref="E81:K81" si="3">E5</f>
        <v>RESET_ARP</v>
      </c>
      <c r="F81" s="249" t="str">
        <f t="shared" si="3"/>
        <v>AUTOZERO</v>
      </c>
      <c r="G81" s="249" t="str">
        <f t="shared" si="3"/>
        <v>RESET_AZ</v>
      </c>
      <c r="H81" s="249" t="str">
        <f t="shared" si="3"/>
        <v>DIFF_EN</v>
      </c>
      <c r="I81" s="249" t="str">
        <f t="shared" si="3"/>
        <v>LIR</v>
      </c>
      <c r="J81" s="249" t="str">
        <f t="shared" si="3"/>
        <v>PLE</v>
      </c>
      <c r="K81" s="250" t="str">
        <f t="shared" si="3"/>
        <v>PHE</v>
      </c>
      <c r="M81" s="251"/>
    </row>
    <row r="82" spans="2:14" ht="15.75" hidden="1" thickBot="1" x14ac:dyDescent="0.3">
      <c r="B82" s="252"/>
      <c r="C82" s="253"/>
      <c r="D82" s="253" t="b">
        <v>1</v>
      </c>
      <c r="E82" s="253" t="b">
        <v>1</v>
      </c>
      <c r="F82" s="253" t="b">
        <v>0</v>
      </c>
      <c r="G82" s="253" t="b">
        <v>0</v>
      </c>
      <c r="H82" s="253" t="b">
        <v>0</v>
      </c>
      <c r="I82" s="253" t="b">
        <v>0</v>
      </c>
      <c r="J82" s="253" t="b">
        <v>0</v>
      </c>
      <c r="K82" s="254" t="b">
        <v>0</v>
      </c>
      <c r="L82" s="251"/>
      <c r="M82" s="251"/>
      <c r="N82" s="16"/>
    </row>
    <row r="83" spans="2:14" ht="15.75" hidden="1" thickBot="1" x14ac:dyDescent="0.3">
      <c r="B83" s="251"/>
      <c r="C83" s="251"/>
      <c r="D83" s="251"/>
      <c r="E83" s="251"/>
      <c r="F83" s="251"/>
      <c r="G83" s="251"/>
      <c r="H83" s="251"/>
      <c r="I83" s="251"/>
      <c r="J83" s="251"/>
      <c r="K83" s="251"/>
      <c r="L83" s="251"/>
      <c r="M83" s="251"/>
      <c r="N83" s="16"/>
    </row>
    <row r="84" spans="2:14" hidden="1" x14ac:dyDescent="0.25">
      <c r="B84" s="248" t="str">
        <f>B17</f>
        <v>Control Register 1</v>
      </c>
      <c r="C84" s="256"/>
      <c r="D84" s="256"/>
      <c r="E84" s="282" t="str">
        <f>E17</f>
        <v>Output Data Rate</v>
      </c>
      <c r="F84" s="283"/>
      <c r="G84" s="283"/>
      <c r="H84" s="249" t="str">
        <f>H17</f>
        <v>Low Pass Filter</v>
      </c>
      <c r="I84" s="249" t="str">
        <f t="shared" ref="I84:K84" si="4">I17</f>
        <v>Low Pass Configuration</v>
      </c>
      <c r="J84" s="249" t="str">
        <f t="shared" si="4"/>
        <v>Block Data Update</v>
      </c>
      <c r="K84" s="250" t="str">
        <f t="shared" si="4"/>
        <v>SPI Mode</v>
      </c>
      <c r="L84" s="251"/>
      <c r="M84" s="251"/>
      <c r="N84" s="16"/>
    </row>
    <row r="85" spans="2:14" hidden="1" x14ac:dyDescent="0.25">
      <c r="B85" s="284"/>
      <c r="C85" s="285"/>
      <c r="D85" s="285"/>
      <c r="E85" s="285" t="s">
        <v>176</v>
      </c>
      <c r="F85" s="285"/>
      <c r="G85" s="285"/>
      <c r="H85" s="285" t="b">
        <v>1</v>
      </c>
      <c r="I85" s="286">
        <f>IF(H85,IFERROR(INDEX(E85:E90,E91)/9,"-"),"-")</f>
        <v>8.3333333333333339</v>
      </c>
      <c r="J85" s="285" t="b">
        <v>0</v>
      </c>
      <c r="K85" s="287" t="s">
        <v>177</v>
      </c>
      <c r="L85" s="251"/>
      <c r="M85" s="251"/>
      <c r="N85" s="16"/>
    </row>
    <row r="86" spans="2:14" hidden="1" x14ac:dyDescent="0.25">
      <c r="B86" s="284"/>
      <c r="C86" s="285"/>
      <c r="D86" s="285"/>
      <c r="E86" s="288">
        <v>1</v>
      </c>
      <c r="F86" s="285"/>
      <c r="G86" s="285"/>
      <c r="H86" s="285"/>
      <c r="I86" s="286">
        <f>IF(H85,IFERROR(INDEX(E85:E90,E91)/20,"-"),"-")</f>
        <v>3.75</v>
      </c>
      <c r="J86" s="285"/>
      <c r="K86" s="287" t="s">
        <v>178</v>
      </c>
      <c r="L86" s="251"/>
      <c r="M86" s="251"/>
      <c r="N86" s="16"/>
    </row>
    <row r="87" spans="2:14" hidden="1" x14ac:dyDescent="0.25">
      <c r="B87" s="284"/>
      <c r="C87" s="285"/>
      <c r="D87" s="285"/>
      <c r="E87" s="288">
        <v>10</v>
      </c>
      <c r="F87" s="285"/>
      <c r="G87" s="285"/>
      <c r="H87" s="285"/>
      <c r="I87" s="285">
        <v>1</v>
      </c>
      <c r="J87" s="285"/>
      <c r="K87" s="287">
        <v>1</v>
      </c>
      <c r="L87" s="251"/>
      <c r="M87" s="251"/>
      <c r="N87" s="16"/>
    </row>
    <row r="88" spans="2:14" hidden="1" x14ac:dyDescent="0.25">
      <c r="B88" s="284"/>
      <c r="C88" s="285"/>
      <c r="D88" s="285"/>
      <c r="E88" s="288">
        <v>25</v>
      </c>
      <c r="F88" s="285"/>
      <c r="G88" s="285"/>
      <c r="H88" s="285"/>
      <c r="I88" s="285"/>
      <c r="J88" s="285"/>
      <c r="K88" s="287"/>
      <c r="L88" s="251"/>
      <c r="M88" s="251"/>
      <c r="N88" s="16"/>
    </row>
    <row r="89" spans="2:14" hidden="1" x14ac:dyDescent="0.25">
      <c r="B89" s="284"/>
      <c r="C89" s="285"/>
      <c r="D89" s="285"/>
      <c r="E89" s="288">
        <v>50</v>
      </c>
      <c r="F89" s="285"/>
      <c r="G89" s="285"/>
      <c r="H89" s="285"/>
      <c r="I89" s="285"/>
      <c r="J89" s="285"/>
      <c r="K89" s="287"/>
      <c r="L89" s="251"/>
      <c r="M89" s="251"/>
      <c r="N89" s="16"/>
    </row>
    <row r="90" spans="2:14" hidden="1" x14ac:dyDescent="0.25">
      <c r="B90" s="284"/>
      <c r="C90" s="285"/>
      <c r="D90" s="285"/>
      <c r="E90" s="288">
        <v>75</v>
      </c>
      <c r="F90" s="285"/>
      <c r="G90" s="285"/>
      <c r="H90" s="285"/>
      <c r="I90" s="285"/>
      <c r="J90" s="285"/>
      <c r="K90" s="287"/>
      <c r="L90" s="251"/>
      <c r="M90" s="251"/>
      <c r="N90" s="16"/>
    </row>
    <row r="91" spans="2:14" ht="15.75" hidden="1" thickBot="1" x14ac:dyDescent="0.3">
      <c r="B91" s="252"/>
      <c r="C91" s="253"/>
      <c r="D91" s="253"/>
      <c r="E91" s="253">
        <v>6</v>
      </c>
      <c r="F91" s="253"/>
      <c r="G91" s="253"/>
      <c r="H91" s="253"/>
      <c r="I91" s="253"/>
      <c r="J91" s="253"/>
      <c r="K91" s="254"/>
      <c r="L91" s="251"/>
      <c r="M91" s="251"/>
      <c r="N91" s="16"/>
    </row>
    <row r="92" spans="2:14" ht="16.5" hidden="1" thickTop="1" thickBot="1" x14ac:dyDescent="0.3">
      <c r="B92" s="251"/>
      <c r="C92" s="251"/>
      <c r="D92" s="251"/>
      <c r="E92" s="251"/>
      <c r="F92" s="251"/>
      <c r="G92" s="251"/>
      <c r="H92" s="251"/>
      <c r="I92" s="251"/>
      <c r="J92" s="251"/>
      <c r="K92" s="251"/>
      <c r="L92" s="251"/>
      <c r="M92" s="251"/>
      <c r="N92" s="16"/>
    </row>
    <row r="93" spans="2:14" ht="15.75" hidden="1" thickTop="1" x14ac:dyDescent="0.25">
      <c r="B93" s="248" t="str">
        <f>B17</f>
        <v>Control Register 1</v>
      </c>
      <c r="C93" s="256" t="str">
        <f>C17</f>
        <v>0x10</v>
      </c>
      <c r="D93" s="249" t="str">
        <f>D22</f>
        <v>BOOT</v>
      </c>
      <c r="E93" s="249" t="str">
        <f t="shared" ref="E93:K93" si="5">E22</f>
        <v>FIFO_EN</v>
      </c>
      <c r="F93" s="249" t="str">
        <f t="shared" si="5"/>
        <v>STOP_ON_FTH</v>
      </c>
      <c r="G93" s="249" t="str">
        <f t="shared" si="5"/>
        <v>IF_ADC_INC</v>
      </c>
      <c r="H93" s="249" t="str">
        <f t="shared" si="5"/>
        <v>I2C_DIS</v>
      </c>
      <c r="I93" s="249" t="str">
        <f t="shared" si="5"/>
        <v>SWRESET</v>
      </c>
      <c r="J93" s="249"/>
      <c r="K93" s="249" t="str">
        <f t="shared" si="5"/>
        <v>ONE_SHOT</v>
      </c>
      <c r="M93" s="251"/>
    </row>
    <row r="94" spans="2:14" ht="15.75" hidden="1" thickBot="1" x14ac:dyDescent="0.3">
      <c r="B94" s="252"/>
      <c r="C94" s="253"/>
      <c r="D94" s="253" t="b">
        <v>0</v>
      </c>
      <c r="E94" s="253" t="b">
        <v>0</v>
      </c>
      <c r="F94" s="253" t="b">
        <v>0</v>
      </c>
      <c r="G94" s="253" t="b">
        <v>1</v>
      </c>
      <c r="H94" s="253" t="b">
        <v>1</v>
      </c>
      <c r="I94" s="253" t="b">
        <v>0</v>
      </c>
      <c r="J94" s="253"/>
      <c r="K94" s="254" t="b">
        <v>1</v>
      </c>
      <c r="L94" s="251"/>
      <c r="M94" s="251"/>
      <c r="N94" s="16"/>
    </row>
    <row r="95" spans="2:14" ht="15.75" hidden="1" thickBot="1" x14ac:dyDescent="0.3">
      <c r="B95" s="251"/>
      <c r="C95" s="251"/>
      <c r="D95" s="251"/>
      <c r="E95" s="251"/>
      <c r="F95" s="251"/>
      <c r="G95" s="251"/>
      <c r="H95" s="251"/>
      <c r="I95" s="251"/>
      <c r="J95" s="251"/>
      <c r="K95" s="251"/>
      <c r="L95" s="251"/>
      <c r="M95" s="251"/>
      <c r="N95" s="16"/>
    </row>
    <row r="96" spans="2:14" ht="15.75" thickTop="1" x14ac:dyDescent="0.25">
      <c r="B96" s="248">
        <f>B20</f>
        <v>0</v>
      </c>
      <c r="C96" s="248">
        <f>C20</f>
        <v>0</v>
      </c>
      <c r="D96" s="249" t="str">
        <f>D25</f>
        <v>Interrupt Polarity</v>
      </c>
      <c r="E96" s="249" t="str">
        <f t="shared" ref="E96:K96" si="6">E25</f>
        <v>Interrupt Output</v>
      </c>
      <c r="F96" s="249" t="str">
        <f t="shared" si="6"/>
        <v>FIFO Full</v>
      </c>
      <c r="G96" s="249" t="str">
        <f t="shared" si="6"/>
        <v>FIFO Watermark</v>
      </c>
      <c r="H96" s="249" t="str">
        <f t="shared" si="6"/>
        <v>FIFO Overun</v>
      </c>
      <c r="I96" s="249" t="str">
        <f t="shared" si="6"/>
        <v>Data-Ready</v>
      </c>
      <c r="J96" s="249" t="str">
        <f>J25</f>
        <v>Interrupt Signal</v>
      </c>
      <c r="K96" s="250"/>
      <c r="L96" s="251"/>
      <c r="M96" s="251"/>
      <c r="N96" s="16"/>
    </row>
    <row r="97" spans="2:14" x14ac:dyDescent="0.25">
      <c r="B97" s="251"/>
      <c r="C97" s="284"/>
      <c r="D97" s="285" t="s">
        <v>207</v>
      </c>
      <c r="E97" s="285" t="s">
        <v>209</v>
      </c>
      <c r="F97" s="285" t="b">
        <v>1</v>
      </c>
      <c r="G97" s="285" t="b">
        <v>1</v>
      </c>
      <c r="H97" s="285" t="b">
        <v>1</v>
      </c>
      <c r="I97" s="285" t="b">
        <v>1</v>
      </c>
      <c r="J97" s="285" t="s">
        <v>215</v>
      </c>
      <c r="K97" s="287"/>
      <c r="L97" s="251"/>
      <c r="M97" s="251"/>
      <c r="N97" s="16"/>
    </row>
    <row r="98" spans="2:14" x14ac:dyDescent="0.25">
      <c r="B98" s="251"/>
      <c r="C98" s="284"/>
      <c r="D98" s="285" t="s">
        <v>208</v>
      </c>
      <c r="E98" s="285" t="s">
        <v>210</v>
      </c>
      <c r="F98" s="285"/>
      <c r="G98" s="285"/>
      <c r="H98" s="285"/>
      <c r="I98" s="285"/>
      <c r="J98" s="285" t="s">
        <v>211</v>
      </c>
      <c r="K98" s="287"/>
      <c r="L98" s="251"/>
      <c r="M98" s="251"/>
      <c r="N98" s="16"/>
    </row>
    <row r="99" spans="2:14" x14ac:dyDescent="0.25">
      <c r="B99" s="251"/>
      <c r="C99" s="284"/>
      <c r="D99" s="285">
        <v>1</v>
      </c>
      <c r="E99" s="285">
        <v>1</v>
      </c>
      <c r="F99" s="285"/>
      <c r="G99" s="285"/>
      <c r="H99" s="285"/>
      <c r="I99" s="285"/>
      <c r="J99" s="285" t="s">
        <v>212</v>
      </c>
      <c r="K99" s="287"/>
      <c r="L99" s="251"/>
      <c r="M99" s="251"/>
      <c r="N99" s="16"/>
    </row>
    <row r="100" spans="2:14" x14ac:dyDescent="0.25">
      <c r="B100" s="251"/>
      <c r="C100" s="284"/>
      <c r="D100" s="285"/>
      <c r="E100" s="285"/>
      <c r="F100" s="285"/>
      <c r="G100" s="285"/>
      <c r="H100" s="285"/>
      <c r="I100" s="285"/>
      <c r="J100" s="285" t="s">
        <v>213</v>
      </c>
      <c r="K100" s="287"/>
      <c r="L100" s="251"/>
      <c r="M100" s="251"/>
      <c r="N100" s="16"/>
    </row>
    <row r="101" spans="2:14" ht="15.75" thickBot="1" x14ac:dyDescent="0.3">
      <c r="B101" s="251"/>
      <c r="C101" s="252"/>
      <c r="D101" s="253"/>
      <c r="E101" s="253"/>
      <c r="F101" s="253"/>
      <c r="G101" s="253"/>
      <c r="H101" s="253"/>
      <c r="I101" s="253"/>
      <c r="J101" s="253">
        <v>1</v>
      </c>
      <c r="K101" s="254"/>
      <c r="L101" s="251"/>
      <c r="M101" s="251"/>
      <c r="N101" s="16"/>
    </row>
    <row r="102" spans="2:14" x14ac:dyDescent="0.25">
      <c r="B102" s="251"/>
      <c r="C102" s="251"/>
      <c r="D102" s="251"/>
      <c r="E102" s="251"/>
      <c r="F102" s="251"/>
      <c r="G102" s="251"/>
      <c r="H102" s="251"/>
      <c r="I102" s="251"/>
      <c r="J102" s="251"/>
      <c r="K102" s="251"/>
      <c r="L102" s="251"/>
      <c r="M102" s="251"/>
      <c r="N102" s="16"/>
    </row>
    <row r="103" spans="2:14" x14ac:dyDescent="0.25">
      <c r="B103" s="251"/>
      <c r="C103" s="251"/>
      <c r="D103" s="251"/>
      <c r="E103" s="251"/>
      <c r="F103" s="251"/>
      <c r="G103" s="251"/>
      <c r="H103" s="251"/>
      <c r="I103" s="251"/>
      <c r="J103" s="251"/>
      <c r="K103" s="251"/>
      <c r="L103" s="251"/>
      <c r="M103" s="251"/>
      <c r="N103" s="16"/>
    </row>
    <row r="104" spans="2:14" x14ac:dyDescent="0.25">
      <c r="B104" s="251"/>
      <c r="C104" s="251"/>
      <c r="D104" s="251"/>
      <c r="E104" s="251"/>
      <c r="F104" s="251"/>
      <c r="G104" s="251"/>
      <c r="H104" s="251"/>
      <c r="I104" s="251"/>
      <c r="J104" s="251"/>
      <c r="K104" s="251"/>
      <c r="L104" s="251"/>
      <c r="M104" s="251"/>
      <c r="N104" s="16"/>
    </row>
    <row r="105" spans="2:14" x14ac:dyDescent="0.25">
      <c r="B105" s="251"/>
      <c r="C105" s="251"/>
      <c r="D105" s="251"/>
      <c r="E105" s="251"/>
      <c r="F105" s="251"/>
      <c r="G105" s="251"/>
      <c r="H105" s="251"/>
      <c r="I105" s="251"/>
      <c r="J105" s="251"/>
      <c r="K105" s="251"/>
      <c r="L105" s="251"/>
      <c r="M105" s="251"/>
      <c r="N105" s="16"/>
    </row>
    <row r="106" spans="2:14" x14ac:dyDescent="0.25">
      <c r="B106" s="251"/>
      <c r="C106" s="251"/>
      <c r="D106" s="251"/>
      <c r="E106" s="251"/>
      <c r="F106" s="251"/>
      <c r="G106" s="251"/>
      <c r="H106" s="251"/>
      <c r="I106" s="251"/>
      <c r="J106" s="251"/>
      <c r="K106" s="251"/>
      <c r="L106" s="251"/>
      <c r="M106" s="251"/>
      <c r="N106" s="16"/>
    </row>
    <row r="107" spans="2:14" x14ac:dyDescent="0.25">
      <c r="B107" s="251"/>
      <c r="C107" s="251"/>
      <c r="D107" s="251"/>
      <c r="E107" s="251"/>
      <c r="F107" s="251"/>
      <c r="G107" s="251"/>
      <c r="H107" s="251"/>
      <c r="I107" s="251"/>
      <c r="J107" s="251"/>
      <c r="K107" s="251"/>
      <c r="L107" s="251"/>
      <c r="M107" s="251"/>
      <c r="N107" s="16"/>
    </row>
    <row r="108" spans="2:14" x14ac:dyDescent="0.25">
      <c r="B108" s="251"/>
      <c r="C108" s="251"/>
      <c r="D108" s="251"/>
      <c r="E108" s="251"/>
      <c r="F108" s="251"/>
      <c r="G108" s="251"/>
      <c r="H108" s="251"/>
      <c r="I108" s="251"/>
      <c r="J108" s="251"/>
      <c r="K108" s="251"/>
      <c r="L108" s="251"/>
      <c r="M108" s="251"/>
      <c r="N108" s="16"/>
    </row>
    <row r="109" spans="2:14" x14ac:dyDescent="0.25">
      <c r="B109" s="251"/>
      <c r="C109" s="251"/>
      <c r="D109" s="251"/>
      <c r="E109" s="251"/>
      <c r="F109" s="251"/>
      <c r="G109" s="251"/>
      <c r="H109" s="251"/>
      <c r="I109" s="251"/>
      <c r="J109" s="251"/>
      <c r="K109" s="251"/>
      <c r="L109" s="251"/>
      <c r="M109" s="251"/>
      <c r="N109" s="16"/>
    </row>
    <row r="110" spans="2:14" x14ac:dyDescent="0.25">
      <c r="B110" s="251"/>
      <c r="C110" s="251"/>
      <c r="D110" s="251"/>
      <c r="E110" s="251"/>
      <c r="F110" s="251"/>
      <c r="G110" s="251"/>
      <c r="H110" s="251"/>
      <c r="I110" s="251"/>
      <c r="J110" s="251"/>
      <c r="K110" s="251"/>
      <c r="L110" s="251"/>
      <c r="M110" s="251"/>
      <c r="N110" s="16"/>
    </row>
    <row r="111" spans="2:14" x14ac:dyDescent="0.25">
      <c r="B111" s="251"/>
      <c r="C111" s="251"/>
      <c r="D111" s="251"/>
      <c r="E111" s="251"/>
      <c r="F111" s="251"/>
      <c r="G111" s="251"/>
      <c r="H111" s="251"/>
      <c r="I111" s="251"/>
      <c r="J111" s="251"/>
      <c r="K111" s="251"/>
      <c r="L111" s="251"/>
      <c r="M111" s="251"/>
      <c r="N111" s="16"/>
    </row>
    <row r="112" spans="2:14" x14ac:dyDescent="0.25">
      <c r="B112" s="251"/>
      <c r="C112" s="251"/>
      <c r="D112" s="251"/>
      <c r="E112" s="251"/>
      <c r="F112" s="251"/>
      <c r="G112" s="251"/>
      <c r="H112" s="251"/>
      <c r="I112" s="251"/>
      <c r="J112" s="251"/>
      <c r="K112" s="251"/>
      <c r="L112" s="251"/>
      <c r="M112" s="251"/>
      <c r="N112" s="16"/>
    </row>
    <row r="113" spans="2:14" x14ac:dyDescent="0.25">
      <c r="B113" s="251"/>
      <c r="C113" s="251"/>
      <c r="D113" s="251"/>
      <c r="E113" s="251"/>
      <c r="F113" s="251"/>
      <c r="G113" s="251"/>
      <c r="H113" s="251"/>
      <c r="I113" s="251"/>
      <c r="J113" s="251"/>
      <c r="K113" s="251"/>
      <c r="L113" s="251"/>
      <c r="M113" s="251"/>
      <c r="N113" s="16"/>
    </row>
    <row r="114" spans="2:14" x14ac:dyDescent="0.25">
      <c r="B114" s="251"/>
      <c r="C114" s="251"/>
      <c r="D114" s="251"/>
      <c r="E114" s="251"/>
      <c r="F114" s="251"/>
      <c r="G114" s="251"/>
      <c r="H114" s="251"/>
      <c r="I114" s="251"/>
      <c r="J114" s="251"/>
      <c r="K114" s="251"/>
      <c r="L114" s="251"/>
      <c r="M114" s="251"/>
      <c r="N114" s="16"/>
    </row>
    <row r="115" spans="2:14" x14ac:dyDescent="0.25">
      <c r="B115" s="251"/>
      <c r="C115" s="251"/>
      <c r="D115" s="251"/>
      <c r="E115" s="251"/>
      <c r="F115" s="251"/>
      <c r="G115" s="251"/>
      <c r="H115" s="251"/>
      <c r="I115" s="251"/>
      <c r="J115" s="251"/>
      <c r="K115" s="251"/>
      <c r="L115" s="251"/>
      <c r="M115" s="251"/>
      <c r="N115" s="16"/>
    </row>
    <row r="116" spans="2:14" x14ac:dyDescent="0.25">
      <c r="B116" s="251"/>
      <c r="C116" s="251"/>
      <c r="D116" s="251"/>
      <c r="E116" s="251"/>
      <c r="F116" s="251"/>
      <c r="G116" s="251"/>
      <c r="H116" s="251"/>
      <c r="I116" s="251"/>
      <c r="J116" s="251"/>
      <c r="K116" s="251"/>
      <c r="L116" s="251"/>
      <c r="M116" s="251"/>
      <c r="N116" s="16"/>
    </row>
    <row r="117" spans="2:14" x14ac:dyDescent="0.25">
      <c r="B117" s="251"/>
      <c r="C117" s="251"/>
      <c r="D117" s="251"/>
      <c r="E117" s="251"/>
      <c r="F117" s="251"/>
      <c r="G117" s="251"/>
      <c r="H117" s="251"/>
      <c r="I117" s="251"/>
      <c r="J117" s="251"/>
      <c r="K117" s="251"/>
      <c r="L117" s="251"/>
      <c r="M117" s="251"/>
      <c r="N117" s="16"/>
    </row>
    <row r="118" spans="2:14" x14ac:dyDescent="0.25">
      <c r="B118" s="251"/>
      <c r="C118" s="251"/>
      <c r="D118" s="251"/>
      <c r="E118" s="251"/>
      <c r="F118" s="251"/>
      <c r="G118" s="251"/>
      <c r="H118" s="251"/>
      <c r="I118" s="251"/>
      <c r="J118" s="251"/>
      <c r="K118" s="251"/>
      <c r="L118" s="251"/>
      <c r="M118" s="251"/>
      <c r="N118" s="16"/>
    </row>
    <row r="119" spans="2:14" x14ac:dyDescent="0.25">
      <c r="B119" s="251"/>
      <c r="C119" s="251"/>
      <c r="D119" s="251"/>
      <c r="E119" s="251"/>
      <c r="F119" s="251"/>
      <c r="G119" s="251"/>
      <c r="H119" s="251"/>
      <c r="I119" s="251"/>
      <c r="J119" s="251"/>
      <c r="K119" s="251"/>
      <c r="L119" s="251"/>
      <c r="M119" s="251"/>
      <c r="N119" s="16"/>
    </row>
    <row r="120" spans="2:14" x14ac:dyDescent="0.25">
      <c r="B120" s="251"/>
      <c r="C120" s="251"/>
      <c r="D120" s="251"/>
      <c r="E120" s="251"/>
      <c r="F120" s="251"/>
      <c r="G120" s="251"/>
      <c r="H120" s="251"/>
      <c r="I120" s="251"/>
      <c r="J120" s="251"/>
      <c r="K120" s="251"/>
      <c r="L120" s="251"/>
      <c r="M120" s="251"/>
      <c r="N120" s="16"/>
    </row>
    <row r="121" spans="2:14" x14ac:dyDescent="0.25"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16"/>
    </row>
    <row r="122" spans="2:14" x14ac:dyDescent="0.25">
      <c r="B122" s="251"/>
      <c r="C122" s="251"/>
      <c r="D122" s="251"/>
      <c r="E122" s="251"/>
      <c r="F122" s="251"/>
      <c r="G122" s="251"/>
      <c r="H122" s="251"/>
      <c r="I122" s="251"/>
      <c r="J122" s="251"/>
      <c r="K122" s="251"/>
      <c r="L122" s="251"/>
      <c r="M122" s="251"/>
      <c r="N122" s="16"/>
    </row>
    <row r="123" spans="2:14" x14ac:dyDescent="0.25">
      <c r="B123" s="251"/>
      <c r="C123" s="251"/>
      <c r="D123" s="251"/>
      <c r="E123" s="251"/>
      <c r="F123" s="251"/>
      <c r="G123" s="251"/>
      <c r="H123" s="251"/>
      <c r="I123" s="251"/>
      <c r="J123" s="251"/>
      <c r="K123" s="251"/>
      <c r="L123" s="251"/>
      <c r="M123" s="251"/>
      <c r="N123" s="16"/>
    </row>
    <row r="124" spans="2:14" x14ac:dyDescent="0.25">
      <c r="B124" s="251"/>
      <c r="C124" s="251"/>
      <c r="D124" s="251"/>
      <c r="E124" s="251"/>
      <c r="F124" s="251"/>
      <c r="G124" s="251"/>
      <c r="H124" s="251"/>
      <c r="I124" s="251"/>
      <c r="J124" s="251"/>
      <c r="K124" s="251"/>
      <c r="L124" s="251"/>
      <c r="M124" s="251"/>
      <c r="N124" s="16"/>
    </row>
    <row r="125" spans="2:14" x14ac:dyDescent="0.25">
      <c r="B125" s="251"/>
      <c r="C125" s="251"/>
      <c r="D125" s="251"/>
      <c r="E125" s="251"/>
      <c r="F125" s="251"/>
      <c r="G125" s="251"/>
      <c r="H125" s="251"/>
      <c r="I125" s="251"/>
      <c r="J125" s="251"/>
      <c r="K125" s="251"/>
      <c r="L125" s="251"/>
      <c r="M125" s="251"/>
      <c r="N125" s="16"/>
    </row>
    <row r="126" spans="2:14" x14ac:dyDescent="0.25">
      <c r="B126" s="251"/>
      <c r="C126" s="251"/>
      <c r="D126" s="251"/>
      <c r="E126" s="251"/>
      <c r="F126" s="251"/>
      <c r="G126" s="251"/>
      <c r="H126" s="251"/>
      <c r="I126" s="251"/>
      <c r="J126" s="251"/>
      <c r="K126" s="251"/>
      <c r="L126" s="251"/>
      <c r="M126" s="251"/>
      <c r="N126" s="16"/>
    </row>
    <row r="127" spans="2:14" x14ac:dyDescent="0.25">
      <c r="B127" s="251"/>
      <c r="C127" s="251"/>
      <c r="D127" s="251"/>
      <c r="E127" s="251"/>
      <c r="F127" s="251"/>
      <c r="G127" s="251"/>
      <c r="H127" s="251"/>
      <c r="I127" s="251"/>
      <c r="J127" s="251"/>
      <c r="K127" s="251"/>
      <c r="L127" s="251"/>
      <c r="M127" s="251"/>
      <c r="N127" s="16"/>
    </row>
    <row r="128" spans="2:14" x14ac:dyDescent="0.25">
      <c r="B128" s="251"/>
      <c r="C128" s="251"/>
      <c r="D128" s="251"/>
      <c r="E128" s="251"/>
      <c r="F128" s="251"/>
      <c r="G128" s="251"/>
      <c r="H128" s="251"/>
      <c r="I128" s="251"/>
      <c r="J128" s="251"/>
      <c r="K128" s="251"/>
      <c r="L128" s="251"/>
      <c r="M128" s="251"/>
      <c r="N128" s="16"/>
    </row>
    <row r="129" spans="2:14" x14ac:dyDescent="0.25">
      <c r="B129" s="251"/>
      <c r="C129" s="251"/>
      <c r="D129" s="251"/>
      <c r="E129" s="251"/>
      <c r="F129" s="251"/>
      <c r="G129" s="251"/>
      <c r="H129" s="251"/>
      <c r="I129" s="251"/>
      <c r="J129" s="251"/>
      <c r="K129" s="251"/>
      <c r="L129" s="251"/>
      <c r="M129" s="251"/>
      <c r="N129" s="16"/>
    </row>
    <row r="130" spans="2:14" x14ac:dyDescent="0.25">
      <c r="B130" s="251"/>
      <c r="C130" s="251"/>
      <c r="D130" s="251"/>
      <c r="E130" s="251"/>
      <c r="F130" s="251"/>
      <c r="G130" s="251"/>
      <c r="H130" s="251"/>
      <c r="I130" s="251"/>
      <c r="J130" s="251"/>
      <c r="K130" s="251"/>
      <c r="L130" s="251"/>
      <c r="M130" s="251"/>
      <c r="N130" s="16"/>
    </row>
    <row r="131" spans="2:14" x14ac:dyDescent="0.25">
      <c r="B131" s="251"/>
      <c r="C131" s="251"/>
      <c r="D131" s="251"/>
      <c r="E131" s="251"/>
      <c r="F131" s="251"/>
      <c r="G131" s="251"/>
      <c r="H131" s="251"/>
      <c r="I131" s="251"/>
      <c r="J131" s="251"/>
      <c r="K131" s="251"/>
      <c r="L131" s="251"/>
      <c r="M131" s="251"/>
      <c r="N131" s="16"/>
    </row>
    <row r="132" spans="2:14" x14ac:dyDescent="0.25">
      <c r="B132" s="251"/>
      <c r="C132" s="251"/>
      <c r="D132" s="251"/>
      <c r="E132" s="251"/>
      <c r="F132" s="251"/>
      <c r="G132" s="251"/>
      <c r="H132" s="251"/>
      <c r="I132" s="251"/>
      <c r="J132" s="251"/>
      <c r="K132" s="251"/>
      <c r="L132" s="251"/>
      <c r="M132" s="251"/>
      <c r="N132" s="16"/>
    </row>
    <row r="133" spans="2:14" x14ac:dyDescent="0.25">
      <c r="B133" s="251"/>
      <c r="C133" s="251"/>
      <c r="D133" s="251"/>
      <c r="E133" s="251"/>
      <c r="F133" s="251"/>
      <c r="G133" s="251"/>
      <c r="H133" s="251"/>
      <c r="I133" s="251"/>
      <c r="J133" s="251"/>
      <c r="K133" s="251"/>
      <c r="L133" s="251"/>
      <c r="M133" s="251"/>
      <c r="N133" s="16"/>
    </row>
    <row r="134" spans="2:14" x14ac:dyDescent="0.25">
      <c r="B134" s="251"/>
      <c r="C134" s="251"/>
      <c r="D134" s="251"/>
      <c r="E134" s="251"/>
      <c r="F134" s="251"/>
      <c r="G134" s="251"/>
      <c r="H134" s="251"/>
      <c r="I134" s="251"/>
      <c r="J134" s="251"/>
      <c r="K134" s="251"/>
      <c r="L134" s="251"/>
      <c r="M134" s="251"/>
      <c r="N134" s="16"/>
    </row>
    <row r="135" spans="2:14" x14ac:dyDescent="0.25">
      <c r="B135" s="251"/>
      <c r="C135" s="251"/>
      <c r="D135" s="251"/>
      <c r="E135" s="251"/>
      <c r="F135" s="251"/>
      <c r="G135" s="251"/>
      <c r="H135" s="251"/>
      <c r="I135" s="251"/>
      <c r="J135" s="251"/>
      <c r="K135" s="251"/>
      <c r="L135" s="251"/>
      <c r="M135" s="251"/>
      <c r="N135" s="16"/>
    </row>
    <row r="136" spans="2:14" x14ac:dyDescent="0.25">
      <c r="B136" s="251"/>
      <c r="C136" s="251"/>
      <c r="D136" s="251"/>
      <c r="E136" s="251"/>
      <c r="F136" s="251"/>
      <c r="G136" s="251"/>
      <c r="H136" s="251"/>
      <c r="I136" s="251"/>
      <c r="J136" s="251"/>
      <c r="K136" s="251"/>
      <c r="L136" s="251"/>
      <c r="M136" s="251"/>
      <c r="N136" s="16"/>
    </row>
    <row r="137" spans="2:14" x14ac:dyDescent="0.25">
      <c r="B137" s="251"/>
      <c r="C137" s="251"/>
      <c r="D137" s="251"/>
      <c r="E137" s="251"/>
      <c r="F137" s="251"/>
      <c r="G137" s="251"/>
      <c r="H137" s="251"/>
      <c r="I137" s="251"/>
      <c r="J137" s="251"/>
      <c r="K137" s="251"/>
      <c r="L137" s="251"/>
      <c r="M137" s="251"/>
      <c r="N137" s="16"/>
    </row>
    <row r="138" spans="2:14" x14ac:dyDescent="0.25">
      <c r="B138" s="251"/>
      <c r="C138" s="251"/>
      <c r="D138" s="251"/>
      <c r="E138" s="251"/>
      <c r="F138" s="251"/>
      <c r="G138" s="251"/>
      <c r="H138" s="251"/>
      <c r="I138" s="251"/>
      <c r="J138" s="251"/>
      <c r="K138" s="251"/>
      <c r="L138" s="251"/>
      <c r="M138" s="251"/>
      <c r="N138" s="16"/>
    </row>
    <row r="139" spans="2:14" x14ac:dyDescent="0.25">
      <c r="B139" s="251"/>
      <c r="C139" s="251"/>
      <c r="D139" s="251"/>
      <c r="E139" s="251"/>
      <c r="F139" s="251"/>
      <c r="G139" s="251"/>
      <c r="H139" s="251"/>
      <c r="I139" s="251"/>
      <c r="J139" s="251"/>
      <c r="K139" s="251"/>
      <c r="L139" s="251"/>
      <c r="M139" s="251"/>
      <c r="N139" s="16"/>
    </row>
    <row r="140" spans="2:14" x14ac:dyDescent="0.25">
      <c r="B140" s="251"/>
      <c r="C140" s="251"/>
      <c r="D140" s="251"/>
      <c r="E140" s="251"/>
      <c r="F140" s="251"/>
      <c r="G140" s="251"/>
      <c r="H140" s="251"/>
      <c r="I140" s="251"/>
      <c r="J140" s="251"/>
      <c r="K140" s="251"/>
      <c r="L140" s="251"/>
      <c r="M140" s="251"/>
      <c r="N140" s="16"/>
    </row>
    <row r="141" spans="2:14" x14ac:dyDescent="0.25">
      <c r="B141" s="251"/>
      <c r="C141" s="251"/>
      <c r="D141" s="251"/>
      <c r="E141" s="251"/>
      <c r="F141" s="251"/>
      <c r="G141" s="251"/>
      <c r="H141" s="251"/>
      <c r="I141" s="251"/>
      <c r="J141" s="251"/>
      <c r="K141" s="251"/>
      <c r="L141" s="251"/>
      <c r="M141" s="251"/>
      <c r="N141" s="16"/>
    </row>
    <row r="142" spans="2:14" x14ac:dyDescent="0.25">
      <c r="B142" s="251"/>
      <c r="C142" s="251"/>
      <c r="D142" s="251"/>
      <c r="E142" s="251"/>
      <c r="F142" s="251"/>
      <c r="G142" s="251"/>
      <c r="H142" s="251"/>
      <c r="I142" s="251"/>
      <c r="J142" s="251"/>
      <c r="K142" s="251"/>
      <c r="L142" s="251"/>
      <c r="M142" s="251"/>
      <c r="N142" s="16"/>
    </row>
    <row r="143" spans="2:14" x14ac:dyDescent="0.25">
      <c r="B143" s="251"/>
      <c r="C143" s="251"/>
      <c r="D143" s="251"/>
      <c r="E143" s="251"/>
      <c r="F143" s="251"/>
      <c r="G143" s="251"/>
      <c r="H143" s="251"/>
      <c r="I143" s="251"/>
      <c r="J143" s="251"/>
      <c r="K143" s="251"/>
      <c r="L143" s="251"/>
      <c r="M143" s="251"/>
      <c r="N143" s="16"/>
    </row>
    <row r="144" spans="2:14" x14ac:dyDescent="0.25">
      <c r="B144" s="251"/>
      <c r="C144" s="251"/>
      <c r="D144" s="251"/>
      <c r="E144" s="251"/>
      <c r="F144" s="251"/>
      <c r="G144" s="251"/>
      <c r="H144" s="251"/>
      <c r="I144" s="251"/>
      <c r="J144" s="251"/>
      <c r="K144" s="251"/>
      <c r="L144" s="251"/>
      <c r="M144" s="251"/>
      <c r="N144" s="16"/>
    </row>
    <row r="145" spans="2:14" x14ac:dyDescent="0.25">
      <c r="B145" s="251"/>
      <c r="C145" s="251"/>
      <c r="D145" s="251"/>
      <c r="E145" s="251"/>
      <c r="F145" s="251"/>
      <c r="G145" s="251"/>
      <c r="H145" s="251"/>
      <c r="I145" s="251"/>
      <c r="J145" s="251"/>
      <c r="K145" s="251"/>
      <c r="L145" s="251"/>
      <c r="M145" s="251"/>
      <c r="N145" s="16"/>
    </row>
    <row r="146" spans="2:14" x14ac:dyDescent="0.25">
      <c r="B146" s="251"/>
      <c r="C146" s="251"/>
      <c r="D146" s="251"/>
      <c r="E146" s="251"/>
      <c r="F146" s="251"/>
      <c r="G146" s="251"/>
      <c r="H146" s="251"/>
      <c r="I146" s="251"/>
      <c r="J146" s="251"/>
      <c r="K146" s="251"/>
      <c r="L146" s="251"/>
      <c r="M146" s="251"/>
      <c r="N146" s="16"/>
    </row>
    <row r="147" spans="2:14" x14ac:dyDescent="0.25">
      <c r="B147" s="251"/>
      <c r="C147" s="251"/>
      <c r="D147" s="251"/>
      <c r="E147" s="251"/>
      <c r="F147" s="251"/>
      <c r="G147" s="251"/>
      <c r="H147" s="251"/>
      <c r="I147" s="251"/>
      <c r="J147" s="251"/>
      <c r="K147" s="251"/>
      <c r="L147" s="251"/>
      <c r="M147" s="251"/>
      <c r="N147" s="16"/>
    </row>
    <row r="148" spans="2:14" x14ac:dyDescent="0.25"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16"/>
    </row>
    <row r="149" spans="2:14" x14ac:dyDescent="0.25">
      <c r="B149" s="251"/>
      <c r="C149" s="251"/>
      <c r="D149" s="251"/>
      <c r="E149" s="251"/>
      <c r="F149" s="251"/>
      <c r="G149" s="251"/>
      <c r="H149" s="251"/>
      <c r="I149" s="251"/>
      <c r="J149" s="251"/>
      <c r="K149" s="251"/>
      <c r="L149" s="251"/>
      <c r="M149" s="251"/>
      <c r="N149" s="16"/>
    </row>
    <row r="150" spans="2:14" x14ac:dyDescent="0.25">
      <c r="B150" s="251"/>
      <c r="C150" s="251"/>
      <c r="D150" s="251"/>
      <c r="E150" s="251"/>
      <c r="F150" s="251"/>
      <c r="G150" s="251"/>
      <c r="H150" s="251"/>
      <c r="I150" s="251"/>
      <c r="J150" s="251"/>
      <c r="K150" s="251"/>
      <c r="L150" s="251"/>
      <c r="M150" s="251"/>
      <c r="N150" s="16"/>
    </row>
    <row r="151" spans="2:14" x14ac:dyDescent="0.25">
      <c r="B151" s="251"/>
      <c r="C151" s="251"/>
      <c r="D151" s="251"/>
      <c r="E151" s="251"/>
      <c r="F151" s="251"/>
      <c r="G151" s="251"/>
      <c r="H151" s="251"/>
      <c r="I151" s="251"/>
      <c r="J151" s="251"/>
      <c r="K151" s="251"/>
      <c r="L151" s="251"/>
      <c r="M151" s="251"/>
      <c r="N151" s="16"/>
    </row>
    <row r="152" spans="2:14" x14ac:dyDescent="0.25">
      <c r="B152" s="251"/>
      <c r="C152" s="251"/>
      <c r="D152" s="251"/>
      <c r="E152" s="251"/>
      <c r="F152" s="251"/>
      <c r="G152" s="251"/>
      <c r="H152" s="251"/>
      <c r="I152" s="251"/>
      <c r="J152" s="251"/>
      <c r="K152" s="251"/>
      <c r="L152" s="251"/>
      <c r="M152" s="251"/>
      <c r="N152" s="16"/>
    </row>
    <row r="153" spans="2:14" x14ac:dyDescent="0.25">
      <c r="B153" s="251"/>
      <c r="C153" s="251"/>
      <c r="D153" s="251"/>
      <c r="E153" s="251"/>
      <c r="F153" s="251"/>
      <c r="G153" s="251"/>
      <c r="H153" s="251"/>
      <c r="I153" s="251"/>
      <c r="J153" s="251"/>
      <c r="K153" s="251"/>
      <c r="L153" s="251"/>
      <c r="M153" s="251"/>
      <c r="N153" s="16"/>
    </row>
    <row r="154" spans="2:14" x14ac:dyDescent="0.25">
      <c r="B154" s="251"/>
      <c r="C154" s="251"/>
      <c r="D154" s="251"/>
      <c r="E154" s="251"/>
      <c r="F154" s="251"/>
      <c r="G154" s="251"/>
      <c r="H154" s="251"/>
      <c r="I154" s="251"/>
      <c r="J154" s="251"/>
      <c r="K154" s="251"/>
      <c r="L154" s="251"/>
      <c r="M154" s="251"/>
      <c r="N154" s="16"/>
    </row>
    <row r="155" spans="2:14" x14ac:dyDescent="0.25">
      <c r="B155" s="251"/>
      <c r="C155" s="251"/>
      <c r="D155" s="251"/>
      <c r="E155" s="251"/>
      <c r="F155" s="251"/>
      <c r="G155" s="251"/>
      <c r="H155" s="251"/>
      <c r="I155" s="251"/>
      <c r="J155" s="251"/>
      <c r="K155" s="251"/>
      <c r="L155" s="251"/>
      <c r="M155" s="251"/>
      <c r="N155" s="16"/>
    </row>
    <row r="156" spans="2:14" x14ac:dyDescent="0.25">
      <c r="B156" s="251"/>
      <c r="C156" s="251"/>
      <c r="D156" s="251"/>
      <c r="E156" s="251"/>
      <c r="F156" s="251"/>
      <c r="G156" s="251"/>
      <c r="H156" s="251"/>
      <c r="I156" s="251"/>
      <c r="J156" s="251"/>
      <c r="K156" s="251"/>
      <c r="L156" s="251"/>
      <c r="M156" s="251"/>
      <c r="N156" s="16"/>
    </row>
    <row r="157" spans="2:14" x14ac:dyDescent="0.25">
      <c r="B157" s="255"/>
      <c r="C157" s="255"/>
      <c r="D157" s="255"/>
      <c r="E157" s="255"/>
      <c r="F157" s="255"/>
      <c r="G157" s="255"/>
      <c r="H157" s="255"/>
      <c r="I157" s="255"/>
      <c r="J157" s="255"/>
      <c r="K157" s="255"/>
      <c r="L157" s="251"/>
      <c r="M157" s="255"/>
      <c r="N157" s="16"/>
    </row>
    <row r="158" spans="2:14" x14ac:dyDescent="0.25">
      <c r="B158" s="255"/>
      <c r="C158" s="255"/>
      <c r="D158" s="255"/>
      <c r="E158" s="255"/>
      <c r="F158" s="255"/>
      <c r="G158" s="255"/>
      <c r="H158" s="255"/>
      <c r="I158" s="255"/>
      <c r="J158" s="255"/>
      <c r="K158" s="255"/>
      <c r="L158" s="255"/>
      <c r="M158" s="255"/>
    </row>
    <row r="159" spans="2:14" x14ac:dyDescent="0.25">
      <c r="B159" s="255"/>
      <c r="C159" s="255"/>
      <c r="D159" s="255"/>
      <c r="E159" s="255"/>
      <c r="F159" s="255"/>
      <c r="G159" s="255"/>
      <c r="H159" s="255"/>
      <c r="I159" s="255"/>
      <c r="J159" s="255"/>
      <c r="K159" s="255"/>
      <c r="L159" s="255"/>
      <c r="M159" s="255"/>
    </row>
    <row r="160" spans="2:14" x14ac:dyDescent="0.25">
      <c r="B160" s="255"/>
      <c r="C160" s="255"/>
      <c r="D160" s="255"/>
      <c r="E160" s="255"/>
      <c r="F160" s="255"/>
      <c r="G160" s="255"/>
      <c r="H160" s="255"/>
      <c r="I160" s="255"/>
      <c r="J160" s="255"/>
      <c r="K160" s="255"/>
      <c r="L160" s="255"/>
      <c r="M160" s="255"/>
    </row>
    <row r="161" spans="2:13" x14ac:dyDescent="0.25">
      <c r="B161" s="255"/>
      <c r="C161" s="255"/>
      <c r="D161" s="255"/>
      <c r="E161" s="255"/>
      <c r="F161" s="255"/>
      <c r="G161" s="255"/>
      <c r="H161" s="255"/>
      <c r="I161" s="255"/>
      <c r="J161" s="255"/>
      <c r="K161" s="255"/>
      <c r="L161" s="255"/>
      <c r="M161" s="255"/>
    </row>
    <row r="162" spans="2:13" x14ac:dyDescent="0.25">
      <c r="B162" s="255"/>
      <c r="C162" s="255"/>
      <c r="D162" s="255"/>
      <c r="E162" s="255"/>
      <c r="F162" s="255"/>
      <c r="G162" s="255"/>
      <c r="H162" s="255"/>
      <c r="I162" s="255"/>
      <c r="J162" s="255"/>
      <c r="K162" s="255"/>
      <c r="L162" s="255"/>
      <c r="M162" s="255"/>
    </row>
    <row r="163" spans="2:13" x14ac:dyDescent="0.25">
      <c r="B163" s="255"/>
      <c r="C163" s="255"/>
      <c r="D163" s="255"/>
      <c r="E163" s="255"/>
      <c r="F163" s="255"/>
      <c r="G163" s="255"/>
      <c r="H163" s="255"/>
      <c r="I163" s="255"/>
      <c r="J163" s="255"/>
      <c r="K163" s="255"/>
      <c r="L163" s="255"/>
      <c r="M163" s="255"/>
    </row>
    <row r="164" spans="2:13" x14ac:dyDescent="0.25">
      <c r="B164" s="255"/>
      <c r="C164" s="255"/>
      <c r="D164" s="255"/>
      <c r="E164" s="255"/>
      <c r="F164" s="255"/>
      <c r="G164" s="255"/>
      <c r="H164" s="255"/>
      <c r="I164" s="255"/>
      <c r="J164" s="255"/>
      <c r="K164" s="255"/>
      <c r="L164" s="255"/>
      <c r="M164" s="255"/>
    </row>
    <row r="165" spans="2:13" x14ac:dyDescent="0.25">
      <c r="B165" s="255"/>
      <c r="C165" s="255"/>
      <c r="D165" s="255"/>
      <c r="E165" s="255"/>
      <c r="F165" s="255"/>
      <c r="G165" s="255"/>
      <c r="H165" s="255"/>
      <c r="I165" s="255"/>
      <c r="J165" s="255"/>
      <c r="K165" s="255"/>
      <c r="L165" s="255"/>
      <c r="M165" s="255"/>
    </row>
    <row r="166" spans="2:13" x14ac:dyDescent="0.25">
      <c r="B166" s="255"/>
      <c r="C166" s="255"/>
      <c r="D166" s="255"/>
      <c r="E166" s="255"/>
      <c r="F166" s="255"/>
      <c r="G166" s="255"/>
      <c r="H166" s="255"/>
      <c r="I166" s="255"/>
      <c r="J166" s="255"/>
      <c r="K166" s="255"/>
      <c r="L166" s="255"/>
      <c r="M166" s="255"/>
    </row>
    <row r="167" spans="2:13" x14ac:dyDescent="0.25">
      <c r="B167" s="255"/>
      <c r="C167" s="255"/>
      <c r="D167" s="255"/>
      <c r="E167" s="255"/>
      <c r="F167" s="255"/>
      <c r="G167" s="255"/>
      <c r="H167" s="255"/>
      <c r="I167" s="255"/>
      <c r="J167" s="255"/>
      <c r="K167" s="255"/>
      <c r="L167" s="255"/>
      <c r="M167" s="255"/>
    </row>
    <row r="168" spans="2:13" x14ac:dyDescent="0.25">
      <c r="B168" s="255"/>
      <c r="C168" s="255"/>
      <c r="D168" s="255"/>
      <c r="E168" s="255"/>
      <c r="F168" s="255"/>
      <c r="G168" s="255"/>
      <c r="H168" s="255"/>
      <c r="I168" s="255"/>
      <c r="J168" s="255"/>
      <c r="K168" s="255"/>
      <c r="L168" s="255"/>
      <c r="M168" s="255"/>
    </row>
    <row r="169" spans="2:13" x14ac:dyDescent="0.25">
      <c r="B169" s="255"/>
      <c r="C169" s="255"/>
      <c r="D169" s="255"/>
      <c r="E169" s="255"/>
      <c r="F169" s="255"/>
      <c r="G169" s="255"/>
      <c r="H169" s="255"/>
      <c r="I169" s="255"/>
      <c r="J169" s="255"/>
      <c r="K169" s="255"/>
      <c r="L169" s="255"/>
      <c r="M169" s="255"/>
    </row>
    <row r="170" spans="2:13" x14ac:dyDescent="0.25">
      <c r="B170" s="255"/>
      <c r="C170" s="255"/>
      <c r="D170" s="255"/>
      <c r="E170" s="255"/>
      <c r="F170" s="255"/>
      <c r="G170" s="255"/>
      <c r="H170" s="255"/>
      <c r="I170" s="255"/>
      <c r="J170" s="255"/>
      <c r="K170" s="255"/>
      <c r="L170" s="255"/>
      <c r="M170" s="255"/>
    </row>
    <row r="171" spans="2:13" x14ac:dyDescent="0.25">
      <c r="B171" s="255"/>
      <c r="C171" s="255"/>
      <c r="D171" s="255"/>
      <c r="E171" s="255"/>
      <c r="F171" s="255"/>
      <c r="G171" s="255"/>
      <c r="H171" s="255"/>
      <c r="I171" s="255"/>
      <c r="J171" s="255"/>
      <c r="K171" s="255"/>
      <c r="L171" s="255"/>
      <c r="M171" s="255"/>
    </row>
    <row r="172" spans="2:13" x14ac:dyDescent="0.25">
      <c r="B172" s="255"/>
      <c r="C172" s="255"/>
      <c r="D172" s="255"/>
      <c r="E172" s="255"/>
      <c r="F172" s="255"/>
      <c r="G172" s="255"/>
      <c r="H172" s="255"/>
      <c r="I172" s="255"/>
      <c r="J172" s="255"/>
      <c r="K172" s="255"/>
      <c r="L172" s="255"/>
      <c r="M172" s="255"/>
    </row>
    <row r="173" spans="2:13" x14ac:dyDescent="0.25">
      <c r="B173" s="255"/>
      <c r="C173" s="255"/>
      <c r="D173" s="255"/>
      <c r="E173" s="255"/>
      <c r="F173" s="255"/>
      <c r="G173" s="255"/>
      <c r="H173" s="255"/>
      <c r="I173" s="255"/>
      <c r="J173" s="255"/>
      <c r="K173" s="255"/>
      <c r="L173" s="255"/>
      <c r="M173" s="255"/>
    </row>
    <row r="174" spans="2:13" x14ac:dyDescent="0.25">
      <c r="B174" s="255"/>
      <c r="C174" s="255"/>
      <c r="D174" s="255"/>
      <c r="E174" s="255"/>
      <c r="F174" s="255"/>
      <c r="G174" s="255"/>
      <c r="H174" s="255"/>
      <c r="I174" s="255"/>
      <c r="J174" s="255"/>
      <c r="K174" s="255"/>
      <c r="L174" s="255"/>
      <c r="M174" s="255"/>
    </row>
    <row r="175" spans="2:13" x14ac:dyDescent="0.25"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</row>
    <row r="176" spans="2:13" x14ac:dyDescent="0.25">
      <c r="B176" s="255"/>
      <c r="C176" s="255"/>
      <c r="D176" s="255"/>
      <c r="E176" s="255"/>
      <c r="F176" s="255"/>
      <c r="G176" s="255"/>
      <c r="H176" s="255"/>
      <c r="I176" s="255"/>
      <c r="J176" s="255"/>
      <c r="K176" s="255"/>
      <c r="L176" s="255"/>
      <c r="M176" s="255"/>
    </row>
    <row r="177" spans="2:13" x14ac:dyDescent="0.25">
      <c r="B177" s="255"/>
      <c r="C177" s="255"/>
      <c r="D177" s="255"/>
      <c r="E177" s="255"/>
      <c r="F177" s="255"/>
      <c r="G177" s="255"/>
      <c r="H177" s="255"/>
      <c r="I177" s="255"/>
      <c r="J177" s="255"/>
      <c r="K177" s="255"/>
      <c r="L177" s="255"/>
      <c r="M177" s="255"/>
    </row>
    <row r="178" spans="2:13" x14ac:dyDescent="0.25">
      <c r="B178" s="255"/>
      <c r="C178" s="255"/>
      <c r="D178" s="255"/>
      <c r="E178" s="255"/>
      <c r="F178" s="255"/>
      <c r="G178" s="255"/>
      <c r="H178" s="255"/>
      <c r="I178" s="255"/>
      <c r="J178" s="255"/>
      <c r="K178" s="255"/>
      <c r="L178" s="255"/>
      <c r="M178" s="255"/>
    </row>
    <row r="179" spans="2:13" x14ac:dyDescent="0.25">
      <c r="B179" s="255"/>
      <c r="C179" s="255"/>
      <c r="D179" s="255"/>
      <c r="E179" s="255"/>
      <c r="F179" s="255"/>
      <c r="G179" s="255"/>
      <c r="H179" s="255"/>
      <c r="I179" s="255"/>
      <c r="J179" s="255"/>
      <c r="K179" s="255"/>
      <c r="L179" s="255"/>
      <c r="M179" s="255"/>
    </row>
    <row r="180" spans="2:13" x14ac:dyDescent="0.25">
      <c r="B180" s="255"/>
      <c r="C180" s="255"/>
      <c r="D180" s="255"/>
      <c r="E180" s="255"/>
      <c r="F180" s="255"/>
      <c r="G180" s="255"/>
      <c r="H180" s="255"/>
      <c r="I180" s="255"/>
      <c r="J180" s="255"/>
      <c r="K180" s="255"/>
      <c r="L180" s="255"/>
      <c r="M180" s="255"/>
    </row>
    <row r="181" spans="2:13" x14ac:dyDescent="0.25">
      <c r="B181" s="255"/>
      <c r="C181" s="255"/>
      <c r="D181" s="255"/>
      <c r="E181" s="255"/>
      <c r="F181" s="255"/>
      <c r="G181" s="255"/>
      <c r="H181" s="255"/>
      <c r="I181" s="255"/>
      <c r="J181" s="255"/>
      <c r="K181" s="255"/>
      <c r="L181" s="255"/>
      <c r="M181" s="255"/>
    </row>
    <row r="182" spans="2:13" x14ac:dyDescent="0.25">
      <c r="B182" s="255"/>
      <c r="C182" s="255"/>
      <c r="D182" s="255"/>
      <c r="E182" s="255"/>
      <c r="F182" s="255"/>
      <c r="G182" s="255"/>
      <c r="H182" s="255"/>
      <c r="I182" s="255"/>
      <c r="J182" s="255"/>
      <c r="K182" s="255"/>
      <c r="L182" s="255"/>
      <c r="M182" s="255"/>
    </row>
    <row r="183" spans="2:13" x14ac:dyDescent="0.25">
      <c r="B183" s="255"/>
      <c r="C183" s="255"/>
      <c r="D183" s="255"/>
      <c r="E183" s="255"/>
      <c r="F183" s="255"/>
      <c r="G183" s="255"/>
      <c r="H183" s="255"/>
      <c r="I183" s="255"/>
      <c r="J183" s="255"/>
      <c r="K183" s="255"/>
      <c r="L183" s="255"/>
      <c r="M183" s="255"/>
    </row>
    <row r="184" spans="2:13" x14ac:dyDescent="0.25">
      <c r="B184" s="255"/>
      <c r="C184" s="255"/>
      <c r="D184" s="255"/>
      <c r="E184" s="255"/>
      <c r="F184" s="255"/>
      <c r="G184" s="255"/>
      <c r="H184" s="255"/>
      <c r="I184" s="255"/>
      <c r="J184" s="255"/>
      <c r="K184" s="255"/>
      <c r="L184" s="255"/>
      <c r="M184" s="255"/>
    </row>
    <row r="185" spans="2:13" x14ac:dyDescent="0.25">
      <c r="B185" s="255"/>
      <c r="C185" s="255"/>
      <c r="D185" s="255"/>
      <c r="E185" s="255"/>
      <c r="F185" s="255"/>
      <c r="G185" s="255"/>
      <c r="H185" s="255"/>
      <c r="I185" s="255"/>
      <c r="J185" s="255"/>
      <c r="K185" s="255"/>
      <c r="L185" s="255"/>
      <c r="M185" s="255"/>
    </row>
    <row r="186" spans="2:13" x14ac:dyDescent="0.25"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</row>
    <row r="187" spans="2:13" x14ac:dyDescent="0.25">
      <c r="B187" s="255"/>
      <c r="C187" s="255"/>
      <c r="D187" s="255"/>
      <c r="E187" s="255"/>
      <c r="F187" s="255"/>
      <c r="G187" s="255"/>
      <c r="H187" s="255"/>
      <c r="I187" s="255"/>
      <c r="J187" s="255"/>
      <c r="K187" s="255"/>
      <c r="L187" s="255"/>
      <c r="M187" s="255"/>
    </row>
    <row r="188" spans="2:13" x14ac:dyDescent="0.25">
      <c r="B188" s="255"/>
      <c r="C188" s="255"/>
      <c r="D188" s="255"/>
      <c r="E188" s="255"/>
      <c r="F188" s="255"/>
      <c r="G188" s="255"/>
      <c r="H188" s="255"/>
      <c r="I188" s="255"/>
      <c r="J188" s="255"/>
      <c r="K188" s="255"/>
      <c r="L188" s="255"/>
      <c r="M188" s="255"/>
    </row>
    <row r="189" spans="2:13" x14ac:dyDescent="0.25">
      <c r="B189" s="255"/>
      <c r="C189" s="255"/>
      <c r="D189" s="255"/>
      <c r="E189" s="255"/>
      <c r="F189" s="255"/>
      <c r="G189" s="255"/>
      <c r="H189" s="255"/>
      <c r="I189" s="255"/>
      <c r="J189" s="255"/>
      <c r="K189" s="255"/>
      <c r="L189" s="255"/>
      <c r="M189" s="255"/>
    </row>
    <row r="190" spans="2:13" x14ac:dyDescent="0.25">
      <c r="B190" s="255"/>
      <c r="C190" s="255"/>
      <c r="D190" s="255"/>
      <c r="E190" s="255"/>
      <c r="F190" s="255"/>
      <c r="G190" s="255"/>
      <c r="H190" s="255"/>
      <c r="I190" s="255"/>
      <c r="J190" s="255"/>
      <c r="K190" s="255"/>
      <c r="L190" s="255"/>
      <c r="M190" s="255"/>
    </row>
    <row r="191" spans="2:13" x14ac:dyDescent="0.25">
      <c r="B191" s="255"/>
      <c r="C191" s="255"/>
      <c r="D191" s="255"/>
      <c r="E191" s="255"/>
      <c r="F191" s="255"/>
      <c r="G191" s="255"/>
      <c r="H191" s="255"/>
      <c r="I191" s="255"/>
      <c r="J191" s="255"/>
      <c r="K191" s="255"/>
      <c r="L191" s="255"/>
      <c r="M191" s="255"/>
    </row>
    <row r="192" spans="2:13" x14ac:dyDescent="0.25">
      <c r="B192" s="255"/>
      <c r="C192" s="255"/>
      <c r="D192" s="255"/>
      <c r="E192" s="255"/>
      <c r="F192" s="255"/>
      <c r="G192" s="255"/>
      <c r="H192" s="255"/>
      <c r="I192" s="255"/>
      <c r="J192" s="255"/>
      <c r="K192" s="255"/>
      <c r="L192" s="255"/>
      <c r="M192" s="255"/>
    </row>
    <row r="193" spans="2:13" x14ac:dyDescent="0.25">
      <c r="B193" s="255"/>
      <c r="C193" s="255"/>
      <c r="D193" s="255"/>
      <c r="E193" s="255"/>
      <c r="F193" s="255"/>
      <c r="G193" s="255"/>
      <c r="H193" s="255"/>
      <c r="I193" s="255"/>
      <c r="J193" s="255"/>
      <c r="K193" s="255"/>
      <c r="L193" s="255"/>
      <c r="M193" s="255"/>
    </row>
    <row r="194" spans="2:13" x14ac:dyDescent="0.25">
      <c r="B194" s="255"/>
      <c r="C194" s="255"/>
      <c r="D194" s="255"/>
      <c r="E194" s="255"/>
      <c r="F194" s="255"/>
      <c r="G194" s="255"/>
      <c r="H194" s="255"/>
      <c r="I194" s="255"/>
      <c r="J194" s="255"/>
      <c r="K194" s="255"/>
      <c r="L194" s="255"/>
      <c r="M194" s="255"/>
    </row>
    <row r="195" spans="2:13" x14ac:dyDescent="0.25">
      <c r="B195" s="255"/>
      <c r="C195" s="255"/>
      <c r="D195" s="255"/>
      <c r="E195" s="255"/>
      <c r="F195" s="255"/>
      <c r="G195" s="255"/>
      <c r="H195" s="255"/>
      <c r="I195" s="255"/>
      <c r="J195" s="255"/>
      <c r="K195" s="255"/>
      <c r="L195" s="255"/>
      <c r="M195" s="255"/>
    </row>
    <row r="196" spans="2:13" x14ac:dyDescent="0.25">
      <c r="B196" s="255"/>
      <c r="C196" s="255"/>
      <c r="D196" s="255"/>
      <c r="E196" s="255"/>
      <c r="F196" s="255"/>
      <c r="G196" s="255"/>
      <c r="H196" s="255"/>
      <c r="I196" s="255"/>
      <c r="J196" s="255"/>
      <c r="K196" s="255"/>
      <c r="L196" s="255"/>
      <c r="M196" s="255"/>
    </row>
    <row r="197" spans="2:13" x14ac:dyDescent="0.25">
      <c r="B197" s="255"/>
      <c r="C197" s="255"/>
      <c r="D197" s="255"/>
      <c r="E197" s="255"/>
      <c r="F197" s="255"/>
      <c r="G197" s="255"/>
      <c r="H197" s="255"/>
      <c r="I197" s="255"/>
      <c r="J197" s="255"/>
      <c r="K197" s="255"/>
      <c r="L197" s="255"/>
      <c r="M197" s="255"/>
    </row>
    <row r="198" spans="2:13" x14ac:dyDescent="0.25">
      <c r="B198" s="255"/>
      <c r="C198" s="255"/>
      <c r="D198" s="255"/>
      <c r="E198" s="255"/>
      <c r="F198" s="255"/>
      <c r="G198" s="255"/>
      <c r="H198" s="255"/>
      <c r="I198" s="255"/>
      <c r="J198" s="255"/>
      <c r="K198" s="255"/>
      <c r="L198" s="255"/>
      <c r="M198" s="255"/>
    </row>
    <row r="199" spans="2:13" x14ac:dyDescent="0.25">
      <c r="B199" s="255"/>
      <c r="C199" s="255"/>
      <c r="D199" s="255"/>
      <c r="E199" s="255"/>
      <c r="F199" s="255"/>
      <c r="G199" s="255"/>
      <c r="H199" s="255"/>
      <c r="I199" s="255"/>
      <c r="J199" s="255"/>
      <c r="K199" s="255"/>
      <c r="L199" s="255"/>
      <c r="M199" s="255"/>
    </row>
    <row r="200" spans="2:13" x14ac:dyDescent="0.25">
      <c r="B200" s="255"/>
      <c r="C200" s="255"/>
      <c r="D200" s="255"/>
      <c r="E200" s="255"/>
      <c r="F200" s="255"/>
      <c r="G200" s="255"/>
      <c r="H200" s="255"/>
      <c r="I200" s="255"/>
      <c r="J200" s="255"/>
      <c r="K200" s="255"/>
      <c r="L200" s="255"/>
      <c r="M200" s="255"/>
    </row>
    <row r="201" spans="2:13" x14ac:dyDescent="0.25">
      <c r="L201" s="255"/>
    </row>
  </sheetData>
  <mergeCells count="99">
    <mergeCell ref="E18:G18"/>
    <mergeCell ref="E84:G84"/>
    <mergeCell ref="M17:M20"/>
    <mergeCell ref="J21:J23"/>
    <mergeCell ref="J28:K28"/>
    <mergeCell ref="J27:K27"/>
    <mergeCell ref="J26:K26"/>
    <mergeCell ref="J25:K25"/>
    <mergeCell ref="M50:M52"/>
    <mergeCell ref="D4:E4"/>
    <mergeCell ref="F4:G4"/>
    <mergeCell ref="J4:K4"/>
    <mergeCell ref="D14:K14"/>
    <mergeCell ref="D13:K13"/>
    <mergeCell ref="H10:K10"/>
    <mergeCell ref="D17:D19"/>
    <mergeCell ref="E20:G20"/>
    <mergeCell ref="M41:M43"/>
    <mergeCell ref="B44:B46"/>
    <mergeCell ref="C44:C46"/>
    <mergeCell ref="M44:M46"/>
    <mergeCell ref="B47:B49"/>
    <mergeCell ref="C47:C49"/>
    <mergeCell ref="M47:M49"/>
    <mergeCell ref="M32:M34"/>
    <mergeCell ref="B35:B37"/>
    <mergeCell ref="C35:C37"/>
    <mergeCell ref="M35:M37"/>
    <mergeCell ref="B38:B40"/>
    <mergeCell ref="C38:C40"/>
    <mergeCell ref="M38:M40"/>
    <mergeCell ref="B25:B28"/>
    <mergeCell ref="C25:C28"/>
    <mergeCell ref="M25:M28"/>
    <mergeCell ref="B29:B31"/>
    <mergeCell ref="C29:C31"/>
    <mergeCell ref="M29:M31"/>
    <mergeCell ref="C15:C16"/>
    <mergeCell ref="M15:M16"/>
    <mergeCell ref="B17:B20"/>
    <mergeCell ref="C17:C20"/>
    <mergeCell ref="B21:B24"/>
    <mergeCell ref="C21:C24"/>
    <mergeCell ref="M21:M24"/>
    <mergeCell ref="E19:G19"/>
    <mergeCell ref="E17:G17"/>
    <mergeCell ref="B68:B70"/>
    <mergeCell ref="C68:C70"/>
    <mergeCell ref="M68:M70"/>
    <mergeCell ref="B15:B16"/>
    <mergeCell ref="B62:B64"/>
    <mergeCell ref="C62:C64"/>
    <mergeCell ref="M62:M64"/>
    <mergeCell ref="B65:B67"/>
    <mergeCell ref="C65:C67"/>
    <mergeCell ref="M65:M67"/>
    <mergeCell ref="M53:M55"/>
    <mergeCell ref="B56:B58"/>
    <mergeCell ref="C56:C58"/>
    <mergeCell ref="M56:M58"/>
    <mergeCell ref="B59:B61"/>
    <mergeCell ref="C59:C61"/>
    <mergeCell ref="M59:M61"/>
    <mergeCell ref="B4:B7"/>
    <mergeCell ref="C4:C7"/>
    <mergeCell ref="M4:M7"/>
    <mergeCell ref="B8:B11"/>
    <mergeCell ref="C8:C11"/>
    <mergeCell ref="M8:M11"/>
    <mergeCell ref="B53:B55"/>
    <mergeCell ref="B50:B52"/>
    <mergeCell ref="C50:C52"/>
    <mergeCell ref="B32:B34"/>
    <mergeCell ref="C32:C34"/>
    <mergeCell ref="B41:B43"/>
    <mergeCell ref="C41:C43"/>
    <mergeCell ref="M77:M79"/>
    <mergeCell ref="B77:B79"/>
    <mergeCell ref="C77:C79"/>
    <mergeCell ref="C53:C55"/>
    <mergeCell ref="B71:B73"/>
    <mergeCell ref="C71:C73"/>
    <mergeCell ref="M71:M73"/>
    <mergeCell ref="B74:B76"/>
    <mergeCell ref="C74:C76"/>
    <mergeCell ref="M74:M76"/>
    <mergeCell ref="D15:K15"/>
    <mergeCell ref="D16:K16"/>
    <mergeCell ref="D11:K11"/>
    <mergeCell ref="D12:K12"/>
    <mergeCell ref="B12:B14"/>
    <mergeCell ref="C12:C14"/>
    <mergeCell ref="M12:M14"/>
    <mergeCell ref="D8:K8"/>
    <mergeCell ref="D9:K9"/>
    <mergeCell ref="B2:B3"/>
    <mergeCell ref="C2:C3"/>
    <mergeCell ref="D2:K2"/>
    <mergeCell ref="M2:M3"/>
  </mergeCells>
  <conditionalFormatting sqref="I17:I20">
    <cfRule type="expression" dxfId="0" priority="1">
      <formula>$H$20=0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Check Box 3">
              <controlPr defaultSize="0" autoFill="0" autoLine="0" autoPict="0">
                <anchor moveWithCells="1">
                  <from>
                    <xdr:col>16</xdr:col>
                    <xdr:colOff>142875</xdr:colOff>
                    <xdr:row>1</xdr:row>
                    <xdr:rowOff>47625</xdr:rowOff>
                  </from>
                  <to>
                    <xdr:col>17</xdr:col>
                    <xdr:colOff>114300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 Down 5">
              <controlPr defaultSize="0" autoLine="0" autoPict="0">
                <anchor moveWithCells="1">
                  <from>
                    <xdr:col>14</xdr:col>
                    <xdr:colOff>238125</xdr:colOff>
                    <xdr:row>1</xdr:row>
                    <xdr:rowOff>38100</xdr:rowOff>
                  </from>
                  <to>
                    <xdr:col>16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Check Box 11">
              <controlPr defaultSize="0" autoFill="0" autoLine="0" autoPict="0">
                <anchor moveWithCells="1">
                  <from>
                    <xdr:col>3</xdr:col>
                    <xdr:colOff>352425</xdr:colOff>
                    <xdr:row>5</xdr:row>
                    <xdr:rowOff>9525</xdr:rowOff>
                  </from>
                  <to>
                    <xdr:col>3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7" name="Check Box 12">
              <controlPr defaultSize="0" autoFill="0" autoLine="0" autoPict="0">
                <anchor moveWithCells="1">
                  <from>
                    <xdr:col>4</xdr:col>
                    <xdr:colOff>352425</xdr:colOff>
                    <xdr:row>5</xdr:row>
                    <xdr:rowOff>9525</xdr:rowOff>
                  </from>
                  <to>
                    <xdr:col>4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8" name="Check Box 14">
              <controlPr defaultSize="0" autoFill="0" autoLine="0" autoPict="0">
                <anchor moveWithCells="1">
                  <from>
                    <xdr:col>6</xdr:col>
                    <xdr:colOff>352425</xdr:colOff>
                    <xdr:row>5</xdr:row>
                    <xdr:rowOff>9525</xdr:rowOff>
                  </from>
                  <to>
                    <xdr:col>6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Check Box 15">
              <controlPr defaultSize="0" autoFill="0" autoLine="0" autoPict="0">
                <anchor moveWithCells="1">
                  <from>
                    <xdr:col>7</xdr:col>
                    <xdr:colOff>352425</xdr:colOff>
                    <xdr:row>5</xdr:row>
                    <xdr:rowOff>9525</xdr:rowOff>
                  </from>
                  <to>
                    <xdr:col>7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Check Box 16">
              <controlPr defaultSize="0" autoFill="0" autoLine="0" autoPict="0">
                <anchor moveWithCells="1">
                  <from>
                    <xdr:col>8</xdr:col>
                    <xdr:colOff>352425</xdr:colOff>
                    <xdr:row>5</xdr:row>
                    <xdr:rowOff>9525</xdr:rowOff>
                  </from>
                  <to>
                    <xdr:col>8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10</xdr:col>
                    <xdr:colOff>352425</xdr:colOff>
                    <xdr:row>5</xdr:row>
                    <xdr:rowOff>9525</xdr:rowOff>
                  </from>
                  <to>
                    <xdr:col>10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5</xdr:col>
                    <xdr:colOff>352425</xdr:colOff>
                    <xdr:row>5</xdr:row>
                    <xdr:rowOff>9525</xdr:rowOff>
                  </from>
                  <to>
                    <xdr:col>5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3" name="Check Box 21">
              <controlPr defaultSize="0" autoFill="0" autoLine="0" autoPict="0">
                <anchor moveWithCells="1">
                  <from>
                    <xdr:col>9</xdr:col>
                    <xdr:colOff>352425</xdr:colOff>
                    <xdr:row>5</xdr:row>
                    <xdr:rowOff>0</xdr:rowOff>
                  </from>
                  <to>
                    <xdr:col>9</xdr:col>
                    <xdr:colOff>933450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4" name="Drop Down 22">
              <controlPr defaultSize="0" autoLine="0" autoPict="0">
                <anchor moveWithCells="1">
                  <from>
                    <xdr:col>5</xdr:col>
                    <xdr:colOff>247650</xdr:colOff>
                    <xdr:row>18</xdr:row>
                    <xdr:rowOff>9525</xdr:rowOff>
                  </from>
                  <to>
                    <xdr:col>5</xdr:col>
                    <xdr:colOff>1009650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7</xdr:col>
                    <xdr:colOff>352425</xdr:colOff>
                    <xdr:row>18</xdr:row>
                    <xdr:rowOff>9525</xdr:rowOff>
                  </from>
                  <to>
                    <xdr:col>7</xdr:col>
                    <xdr:colOff>933450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9</xdr:col>
                    <xdr:colOff>352425</xdr:colOff>
                    <xdr:row>18</xdr:row>
                    <xdr:rowOff>9525</xdr:rowOff>
                  </from>
                  <to>
                    <xdr:col>9</xdr:col>
                    <xdr:colOff>933450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Drop Down 25">
              <controlPr defaultSize="0" autoLine="0" autoPict="0">
                <anchor moveWithCells="1">
                  <from>
                    <xdr:col>8</xdr:col>
                    <xdr:colOff>266700</xdr:colOff>
                    <xdr:row>18</xdr:row>
                    <xdr:rowOff>9525</xdr:rowOff>
                  </from>
                  <to>
                    <xdr:col>8</xdr:col>
                    <xdr:colOff>1028700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Drop Down 26">
              <controlPr defaultSize="0" autoLine="0" autoPict="0">
                <anchor moveWithCells="1">
                  <from>
                    <xdr:col>10</xdr:col>
                    <xdr:colOff>257175</xdr:colOff>
                    <xdr:row>18</xdr:row>
                    <xdr:rowOff>9525</xdr:rowOff>
                  </from>
                  <to>
                    <xdr:col>10</xdr:col>
                    <xdr:colOff>1019175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Check Box 27">
              <controlPr defaultSize="0" autoFill="0" autoLine="0" autoPict="0">
                <anchor moveWithCells="1">
                  <from>
                    <xdr:col>3</xdr:col>
                    <xdr:colOff>352425</xdr:colOff>
                    <xdr:row>22</xdr:row>
                    <xdr:rowOff>9525</xdr:rowOff>
                  </from>
                  <to>
                    <xdr:col>3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0" name="Check Box 28">
              <controlPr defaultSize="0" autoFill="0" autoLine="0" autoPict="0">
                <anchor moveWithCells="1">
                  <from>
                    <xdr:col>4</xdr:col>
                    <xdr:colOff>352425</xdr:colOff>
                    <xdr:row>22</xdr:row>
                    <xdr:rowOff>9525</xdr:rowOff>
                  </from>
                  <to>
                    <xdr:col>4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1" name="Check Box 29">
              <controlPr defaultSize="0" autoFill="0" autoLine="0" autoPict="0">
                <anchor moveWithCells="1">
                  <from>
                    <xdr:col>5</xdr:col>
                    <xdr:colOff>352425</xdr:colOff>
                    <xdr:row>22</xdr:row>
                    <xdr:rowOff>9525</xdr:rowOff>
                  </from>
                  <to>
                    <xdr:col>5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22" name="Check Box 30">
              <controlPr defaultSize="0" autoFill="0" autoLine="0" autoPict="0">
                <anchor moveWithCells="1">
                  <from>
                    <xdr:col>6</xdr:col>
                    <xdr:colOff>352425</xdr:colOff>
                    <xdr:row>22</xdr:row>
                    <xdr:rowOff>9525</xdr:rowOff>
                  </from>
                  <to>
                    <xdr:col>6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3" name="Check Box 31">
              <controlPr defaultSize="0" autoFill="0" autoLine="0" autoPict="0">
                <anchor moveWithCells="1">
                  <from>
                    <xdr:col>7</xdr:col>
                    <xdr:colOff>352425</xdr:colOff>
                    <xdr:row>22</xdr:row>
                    <xdr:rowOff>9525</xdr:rowOff>
                  </from>
                  <to>
                    <xdr:col>7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24" name="Check Box 32">
              <controlPr defaultSize="0" autoFill="0" autoLine="0" autoPict="0">
                <anchor moveWithCells="1">
                  <from>
                    <xdr:col>8</xdr:col>
                    <xdr:colOff>352425</xdr:colOff>
                    <xdr:row>22</xdr:row>
                    <xdr:rowOff>9525</xdr:rowOff>
                  </from>
                  <to>
                    <xdr:col>8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25" name="Check Box 34">
              <controlPr defaultSize="0" autoFill="0" autoLine="0" autoPict="0">
                <anchor moveWithCells="1">
                  <from>
                    <xdr:col>10</xdr:col>
                    <xdr:colOff>352425</xdr:colOff>
                    <xdr:row>22</xdr:row>
                    <xdr:rowOff>9525</xdr:rowOff>
                  </from>
                  <to>
                    <xdr:col>10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26" name="Drop Down 35">
              <controlPr defaultSize="0" autoLine="0" autoPict="0">
                <anchor moveWithCells="1">
                  <from>
                    <xdr:col>3</xdr:col>
                    <xdr:colOff>228600</xdr:colOff>
                    <xdr:row>26</xdr:row>
                    <xdr:rowOff>9525</xdr:rowOff>
                  </from>
                  <to>
                    <xdr:col>3</xdr:col>
                    <xdr:colOff>1085850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27" name="Drop Down 36">
              <controlPr defaultSize="0" autoLine="0" autoPict="0">
                <anchor moveWithCells="1">
                  <from>
                    <xdr:col>4</xdr:col>
                    <xdr:colOff>228600</xdr:colOff>
                    <xdr:row>26</xdr:row>
                    <xdr:rowOff>9525</xdr:rowOff>
                  </from>
                  <to>
                    <xdr:col>4</xdr:col>
                    <xdr:colOff>1085850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8" name="Drop Down 37">
              <controlPr defaultSize="0" autoLine="0" autoPict="0">
                <anchor moveWithCells="1">
                  <from>
                    <xdr:col>9</xdr:col>
                    <xdr:colOff>685800</xdr:colOff>
                    <xdr:row>26</xdr:row>
                    <xdr:rowOff>9525</xdr:rowOff>
                  </from>
                  <to>
                    <xdr:col>10</xdr:col>
                    <xdr:colOff>609600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9" name="Check Box 38">
              <controlPr defaultSize="0" autoFill="0" autoLine="0" autoPict="0">
                <anchor moveWithCells="1">
                  <from>
                    <xdr:col>5</xdr:col>
                    <xdr:colOff>352425</xdr:colOff>
                    <xdr:row>26</xdr:row>
                    <xdr:rowOff>9525</xdr:rowOff>
                  </from>
                  <to>
                    <xdr:col>5</xdr:col>
                    <xdr:colOff>933450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30" name="Check Box 39">
              <controlPr defaultSize="0" autoFill="0" autoLine="0" autoPict="0">
                <anchor moveWithCells="1">
                  <from>
                    <xdr:col>6</xdr:col>
                    <xdr:colOff>352425</xdr:colOff>
                    <xdr:row>26</xdr:row>
                    <xdr:rowOff>9525</xdr:rowOff>
                  </from>
                  <to>
                    <xdr:col>6</xdr:col>
                    <xdr:colOff>933450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31" name="Check Box 40">
              <controlPr defaultSize="0" autoFill="0" autoLine="0" autoPict="0">
                <anchor moveWithCells="1">
                  <from>
                    <xdr:col>7</xdr:col>
                    <xdr:colOff>352425</xdr:colOff>
                    <xdr:row>26</xdr:row>
                    <xdr:rowOff>9525</xdr:rowOff>
                  </from>
                  <to>
                    <xdr:col>7</xdr:col>
                    <xdr:colOff>933450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32" name="Check Box 41">
              <controlPr defaultSize="0" autoFill="0" autoLine="0" autoPict="0">
                <anchor moveWithCells="1">
                  <from>
                    <xdr:col>8</xdr:col>
                    <xdr:colOff>352425</xdr:colOff>
                    <xdr:row>26</xdr:row>
                    <xdr:rowOff>9525</xdr:rowOff>
                  </from>
                  <to>
                    <xdr:col>8</xdr:col>
                    <xdr:colOff>933450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HDC2010</vt:lpstr>
      <vt:lpstr>LPS22HB</vt:lpstr>
    </vt:vector>
  </TitlesOfParts>
  <Company>Tesla Motors,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Harvey</dc:creator>
  <cp:lastModifiedBy>Ross Harvey</cp:lastModifiedBy>
  <cp:lastPrinted>2016-09-26T19:17:49Z</cp:lastPrinted>
  <dcterms:created xsi:type="dcterms:W3CDTF">2016-08-17T07:28:11Z</dcterms:created>
  <dcterms:modified xsi:type="dcterms:W3CDTF">2018-03-20T17:00:50Z</dcterms:modified>
</cp:coreProperties>
</file>