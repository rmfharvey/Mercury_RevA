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ersonal Projects\Mercury_RevA\Documentation\"/>
    </mc:Choice>
  </mc:AlternateContent>
  <bookViews>
    <workbookView xWindow="0" yWindow="0" windowWidth="25710" windowHeight="10830"/>
  </bookViews>
  <sheets>
    <sheet name="HDC2010" sheetId="12" r:id="rId1"/>
  </sheets>
  <definedNames>
    <definedName name="kilo">1000</definedName>
    <definedName name="mega">1000000</definedName>
    <definedName name="micro">0.000001</definedName>
    <definedName name="milli">0.001</definedName>
    <definedName name="nano">0.000000001</definedName>
    <definedName name="Rsense1">#REF!</definedName>
    <definedName name="Rsense2">#REF!</definedName>
    <definedName name="VLED1">#REF!</definedName>
    <definedName name="VLED2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8" i="12" l="1"/>
  <c r="M34" i="12"/>
  <c r="M37" i="12"/>
  <c r="I45" i="12"/>
  <c r="M43" i="12" s="1"/>
  <c r="F45" i="12"/>
  <c r="D45" i="12"/>
  <c r="K45" i="12"/>
  <c r="K79" i="12"/>
  <c r="I79" i="12"/>
  <c r="F79" i="12"/>
  <c r="H79" i="12"/>
  <c r="D79" i="12"/>
  <c r="B79" i="12"/>
  <c r="J42" i="12"/>
  <c r="K42" i="12"/>
  <c r="I42" i="12"/>
  <c r="H42" i="12"/>
  <c r="E42" i="12"/>
  <c r="D42" i="12"/>
  <c r="M40" i="12" s="1"/>
  <c r="K68" i="12"/>
  <c r="J68" i="12"/>
  <c r="I68" i="12"/>
  <c r="H68" i="12"/>
  <c r="E68" i="12"/>
  <c r="D68" i="12"/>
  <c r="B68" i="12"/>
  <c r="D16" i="12"/>
  <c r="D18" i="12"/>
  <c r="D30" i="12"/>
  <c r="D39" i="12"/>
  <c r="H38" i="12" s="1"/>
  <c r="D36" i="12"/>
  <c r="H35" i="12" s="1"/>
  <c r="D33" i="12"/>
  <c r="H32" i="12" s="1"/>
  <c r="H29" i="12"/>
  <c r="D64" i="12"/>
  <c r="D66" i="12" s="1"/>
  <c r="B63" i="12"/>
  <c r="B58" i="12"/>
  <c r="B53" i="12"/>
  <c r="D59" i="12"/>
  <c r="D60" i="12" s="1"/>
  <c r="E59" i="12" s="1"/>
  <c r="E60" i="12" s="1"/>
  <c r="H53" i="12"/>
  <c r="G53" i="12"/>
  <c r="F53" i="12"/>
  <c r="E53" i="12"/>
  <c r="D53" i="12"/>
  <c r="C54" i="12"/>
  <c r="H54" i="12" s="1"/>
  <c r="H21" i="12" s="1"/>
  <c r="B54" i="12"/>
  <c r="B48" i="12"/>
  <c r="H48" i="12"/>
  <c r="G48" i="12"/>
  <c r="F48" i="12"/>
  <c r="E48" i="12"/>
  <c r="D48" i="12"/>
  <c r="C49" i="12"/>
  <c r="H49" i="12" s="1"/>
  <c r="H14" i="12" s="1"/>
  <c r="B49" i="12"/>
  <c r="D11" i="12"/>
  <c r="D9" i="12"/>
  <c r="D7" i="12"/>
  <c r="D5" i="12"/>
  <c r="M31" i="12" l="1"/>
  <c r="D65" i="12"/>
  <c r="E64" i="12" s="1"/>
  <c r="D61" i="12"/>
  <c r="E61" i="12"/>
  <c r="F59" i="12"/>
  <c r="D54" i="12"/>
  <c r="D21" i="12" s="1"/>
  <c r="E54" i="12"/>
  <c r="E21" i="12" s="1"/>
  <c r="F54" i="12"/>
  <c r="F21" i="12" s="1"/>
  <c r="G54" i="12"/>
  <c r="G21" i="12" s="1"/>
  <c r="E49" i="12"/>
  <c r="E14" i="12" s="1"/>
  <c r="F49" i="12"/>
  <c r="F14" i="12" s="1"/>
  <c r="G49" i="12"/>
  <c r="G14" i="12" s="1"/>
  <c r="D49" i="12"/>
  <c r="D14" i="12" s="1"/>
  <c r="E65" i="12" l="1"/>
  <c r="E66" i="12"/>
  <c r="F60" i="12"/>
  <c r="G59" i="12" s="1"/>
  <c r="F61" i="12"/>
  <c r="F64" i="12" l="1"/>
  <c r="F65" i="12" s="1"/>
  <c r="G64" i="12" s="1"/>
  <c r="G60" i="12"/>
  <c r="G61" i="12"/>
  <c r="F66" i="12" l="1"/>
  <c r="H59" i="12"/>
  <c r="H60" i="12" s="1"/>
  <c r="I59" i="12" s="1"/>
  <c r="G66" i="12" l="1"/>
  <c r="G65" i="12"/>
  <c r="H64" i="12" s="1"/>
  <c r="I60" i="12"/>
  <c r="J59" i="12" s="1"/>
  <c r="I61" i="12"/>
  <c r="H61" i="12"/>
  <c r="J60" i="12" l="1"/>
  <c r="K59" i="12" s="1"/>
  <c r="J61" i="12"/>
  <c r="H66" i="12" l="1"/>
  <c r="H65" i="12"/>
  <c r="I64" i="12" s="1"/>
  <c r="K60" i="12"/>
  <c r="K61" i="12"/>
  <c r="C61" i="12" s="1"/>
  <c r="H23" i="12" s="1"/>
  <c r="C59" i="12"/>
  <c r="D24" i="12" s="1"/>
  <c r="M22" i="12" s="1"/>
  <c r="I66" i="12" l="1"/>
  <c r="I65" i="12"/>
  <c r="J64" i="12" s="1"/>
  <c r="J66" i="12" l="1"/>
  <c r="J65" i="12"/>
  <c r="K64" i="12" s="1"/>
  <c r="C64" i="12" l="1"/>
  <c r="D27" i="12" s="1"/>
  <c r="M25" i="12" s="1"/>
  <c r="K66" i="12"/>
  <c r="C66" i="12" s="1"/>
  <c r="H26" i="12" s="1"/>
  <c r="K65" i="12"/>
</calcChain>
</file>

<file path=xl/sharedStrings.xml><?xml version="1.0" encoding="utf-8"?>
<sst xmlns="http://schemas.openxmlformats.org/spreadsheetml/2006/main" count="166" uniqueCount="123">
  <si>
    <t>Register</t>
  </si>
  <si>
    <t>Data</t>
  </si>
  <si>
    <t>[7]</t>
  </si>
  <si>
    <t>[6]</t>
  </si>
  <si>
    <t>[5]</t>
  </si>
  <si>
    <t>[4]</t>
  </si>
  <si>
    <t>[3]</t>
  </si>
  <si>
    <t>[2]</t>
  </si>
  <si>
    <t>[1]</t>
  </si>
  <si>
    <t>[0]</t>
  </si>
  <si>
    <t>00</t>
  </si>
  <si>
    <t>RESERVED</t>
  </si>
  <si>
    <t>-</t>
  </si>
  <si>
    <t>000</t>
  </si>
  <si>
    <t>Disabled</t>
  </si>
  <si>
    <t>Enable</t>
  </si>
  <si>
    <t>Temperature [7:0]</t>
  </si>
  <si>
    <t>Temperature [15:8]</t>
  </si>
  <si>
    <t>FF</t>
  </si>
  <si>
    <t>Humidity [7:0]</t>
  </si>
  <si>
    <t>Humidity [15:8]</t>
  </si>
  <si>
    <t>C0</t>
  </si>
  <si>
    <t>Interrupt/Data Ready</t>
  </si>
  <si>
    <t>Temperature Low</t>
  </si>
  <si>
    <t>Temperature High</t>
  </si>
  <si>
    <t>Humidity Low</t>
  </si>
  <si>
    <t>Humidity High</t>
  </si>
  <si>
    <t>Read Value</t>
  </si>
  <si>
    <t>65</t>
  </si>
  <si>
    <t>Data Ready</t>
  </si>
  <si>
    <t>Humidity High Flag</t>
  </si>
  <si>
    <t>Humidity Low Flag</t>
  </si>
  <si>
    <t>Temp High Flag</t>
  </si>
  <si>
    <t>Temp Low Flag</t>
  </si>
  <si>
    <t>DRDY_STATUS</t>
  </si>
  <si>
    <t>HH_STATUS</t>
  </si>
  <si>
    <t>HL_STATUS</t>
  </si>
  <si>
    <t>TH_STATUS</t>
  </si>
  <si>
    <t>TL_STATUS</t>
  </si>
  <si>
    <t>Binary Value</t>
  </si>
  <si>
    <t>Value if 0</t>
  </si>
  <si>
    <t>Value if 1</t>
  </si>
  <si>
    <t>Data not ready</t>
  </si>
  <si>
    <t>Data is ready</t>
  </si>
  <si>
    <t>No Interrupt</t>
  </si>
  <si>
    <t>Interrupt</t>
  </si>
  <si>
    <t>Temperature Max</t>
  </si>
  <si>
    <t>Humidity Max</t>
  </si>
  <si>
    <t>Interrupt Configuration</t>
  </si>
  <si>
    <t>Data Ready Mask</t>
  </si>
  <si>
    <t>DRDY_MASK</t>
  </si>
  <si>
    <t>HH_MASK</t>
  </si>
  <si>
    <t>HL_MASK</t>
  </si>
  <si>
    <t>TH_MASK</t>
  </si>
  <si>
    <t>TL_MASK</t>
  </si>
  <si>
    <t>Humidity High Mask</t>
  </si>
  <si>
    <t>Humidity Low Mask</t>
  </si>
  <si>
    <t>Temp High Mask</t>
  </si>
  <si>
    <t>Temp Low Mask</t>
  </si>
  <si>
    <t>Enabled</t>
  </si>
  <si>
    <t>78</t>
  </si>
  <si>
    <t>Temperature Offset</t>
  </si>
  <si>
    <t>Temperature Offset  (-20.62-20.46°C)</t>
  </si>
  <si>
    <t>Value</t>
  </si>
  <si>
    <t>Incremental result</t>
  </si>
  <si>
    <t>Actual Offset</t>
  </si>
  <si>
    <t>Humidity Offset</t>
  </si>
  <si>
    <t>Temperature Offset  (-25%-25%)</t>
  </si>
  <si>
    <t>Temperature Threshold High</t>
  </si>
  <si>
    <t>Temperature Threshold Low</t>
  </si>
  <si>
    <t>Humidity Threshold High</t>
  </si>
  <si>
    <t>Humidity Threshold Low</t>
  </si>
  <si>
    <t>Max Temperature Since Restart  (-40-124.5°C)</t>
  </si>
  <si>
    <t>Max Humidity Since Restart (0-99.75%)</t>
  </si>
  <si>
    <t>Temperature Threshold - Low  (-40-124.5°C)</t>
  </si>
  <si>
    <t>Temperature Threshold - High  (-40-124.5°C)</t>
  </si>
  <si>
    <t>Humidity Threshold - High (0-99.75%)</t>
  </si>
  <si>
    <t>Humidity Threshold - Low (0-99.75%)</t>
  </si>
  <si>
    <t>D0</t>
  </si>
  <si>
    <t>Reset and DRDY/INT Configuration</t>
  </si>
  <si>
    <t>Soft Reset</t>
  </si>
  <si>
    <t>Data Rate</t>
  </si>
  <si>
    <t>Heater</t>
  </si>
  <si>
    <t>1/60 Hz</t>
  </si>
  <si>
    <t>1/120 Hz</t>
  </si>
  <si>
    <t>On Demand</t>
  </si>
  <si>
    <t>0.1 Hz</t>
  </si>
  <si>
    <t>0.2 Hz</t>
  </si>
  <si>
    <t>1 Hz</t>
  </si>
  <si>
    <t>2 Hz</t>
  </si>
  <si>
    <t>5 Hz</t>
  </si>
  <si>
    <t>Interrupt Polarity</t>
  </si>
  <si>
    <t>Interrupt Mode</t>
  </si>
  <si>
    <t>High Z</t>
  </si>
  <si>
    <t>Level Sensitive</t>
  </si>
  <si>
    <t>Comparator</t>
  </si>
  <si>
    <t>Start Measurement</t>
  </si>
  <si>
    <t>Temperature Resolution</t>
  </si>
  <si>
    <t>Humidity Resolution</t>
  </si>
  <si>
    <t>Measurement Configuration</t>
  </si>
  <si>
    <t>14 bit</t>
  </si>
  <si>
    <t>11 bit</t>
  </si>
  <si>
    <t>9 bit</t>
  </si>
  <si>
    <t>Temperature</t>
  </si>
  <si>
    <t>Humidity</t>
  </si>
  <si>
    <t>Humidity &amp; Temperature</t>
  </si>
  <si>
    <t>14-bit</t>
  </si>
  <si>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</si>
  <si>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</si>
  <si>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</si>
  <si>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</si>
  <si>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</si>
  <si>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</si>
  <si>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</si>
  <si>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</si>
  <si>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</si>
  <si>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</si>
  <si>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0x0A</t>
  </si>
  <si>
    <t>0x0B</t>
  </si>
  <si>
    <t>0x0C</t>
  </si>
  <si>
    <t>0x0D</t>
  </si>
  <si>
    <t>0x0E</t>
  </si>
  <si>
    <t>0x0F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</si>
</sst>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6" formatCode="0.00&quot;°C&quot;"/>
    <numFmt numFmtId="168" formatCode="0.0##&quot;°C&quot;"/>
    <numFmt numFmtId="169" formatCode="0.0%"/>
    <numFmt numFmtId="170" formatCode="0.0#&quot;°C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Segoe UI"/>
      <family val="2"/>
    </font>
    <font>
      <i/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thin">
        <color auto="1"/>
      </bottom>
      <diagonal/>
    </border>
    <border>
      <left style="medium">
        <color theme="4"/>
      </left>
      <right style="medium">
        <color theme="4"/>
      </right>
      <top style="thin">
        <color auto="1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thin">
        <color auto="1"/>
      </top>
      <bottom style="thin">
        <color auto="1"/>
      </bottom>
      <diagonal/>
    </border>
    <border>
      <left style="medium">
        <color theme="4"/>
      </left>
      <right style="medium">
        <color theme="4"/>
      </right>
      <top/>
      <bottom style="thin">
        <color auto="1"/>
      </bottom>
      <diagonal/>
    </border>
  </borders>
  <cellStyleXfs count="1">
    <xf numFmtId="0" fontId="0" fillId="0" borderId="0"/>
  </cellStyleXfs>
  <cellXfs count="173">
    <xf numFmtId="0" fontId="0" fillId="0" borderId="0" xfId="0"/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/>
    <xf numFmtId="0" fontId="0" fillId="0" borderId="1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9" xfId="0" applyBorder="1"/>
    <xf numFmtId="0" fontId="0" fillId="0" borderId="15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0" borderId="13" xfId="0" applyBorder="1"/>
    <xf numFmtId="49" fontId="0" fillId="0" borderId="9" xfId="0" applyNumberFormat="1" applyBorder="1"/>
    <xf numFmtId="0" fontId="0" fillId="0" borderId="0" xfId="0" applyBorder="1" applyAlignment="1">
      <alignment horizontal="center"/>
    </xf>
    <xf numFmtId="0" fontId="0" fillId="0" borderId="0" xfId="0" applyNumberFormat="1" applyBorder="1"/>
    <xf numFmtId="0" fontId="0" fillId="0" borderId="15" xfId="0" applyNumberFormat="1" applyBorder="1"/>
    <xf numFmtId="0" fontId="0" fillId="0" borderId="0" xfId="0" applyNumberFormat="1"/>
    <xf numFmtId="0" fontId="0" fillId="0" borderId="11" xfId="0" applyNumberFormat="1" applyBorder="1"/>
    <xf numFmtId="0" fontId="0" fillId="0" borderId="16" xfId="0" applyNumberFormat="1" applyBorder="1"/>
    <xf numFmtId="0" fontId="0" fillId="0" borderId="13" xfId="0" applyNumberFormat="1" applyBorder="1"/>
    <xf numFmtId="0" fontId="1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3" borderId="18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1" fillId="2" borderId="24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28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30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0" fillId="4" borderId="34" xfId="0" applyNumberFormat="1" applyFill="1" applyBorder="1" applyAlignment="1">
      <alignment horizontal="center" vertical="center" wrapText="1"/>
    </xf>
    <xf numFmtId="49" fontId="0" fillId="4" borderId="35" xfId="0" applyNumberFormat="1" applyFill="1" applyBorder="1" applyAlignment="1">
      <alignment horizontal="center" vertical="center" wrapText="1"/>
    </xf>
    <xf numFmtId="49" fontId="0" fillId="4" borderId="36" xfId="0" applyNumberFormat="1" applyFill="1" applyBorder="1" applyAlignment="1">
      <alignment horizontal="center" vertical="center" wrapText="1"/>
    </xf>
    <xf numFmtId="0" fontId="0" fillId="3" borderId="27" xfId="0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3" borderId="41" xfId="0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3" borderId="43" xfId="0" applyFill="1" applyBorder="1" applyAlignment="1">
      <alignment horizontal="center" vertical="center" wrapText="1"/>
    </xf>
    <xf numFmtId="49" fontId="0" fillId="4" borderId="9" xfId="0" applyNumberFormat="1" applyFill="1" applyBorder="1" applyAlignment="1">
      <alignment horizontal="center" vertical="center" wrapText="1"/>
    </xf>
    <xf numFmtId="49" fontId="0" fillId="4" borderId="0" xfId="0" applyNumberFormat="1" applyFill="1" applyBorder="1" applyAlignment="1">
      <alignment horizontal="center" vertical="center" wrapText="1"/>
    </xf>
    <xf numFmtId="49" fontId="0" fillId="4" borderId="5" xfId="0" applyNumberFormat="1" applyFill="1" applyBorder="1" applyAlignment="1">
      <alignment horizontal="center" vertical="center" wrapText="1"/>
    </xf>
    <xf numFmtId="166" fontId="1" fillId="4" borderId="38" xfId="0" applyNumberFormat="1" applyFont="1" applyFill="1" applyBorder="1" applyAlignment="1">
      <alignment horizontal="center" vertical="center"/>
    </xf>
    <xf numFmtId="166" fontId="1" fillId="4" borderId="33" xfId="0" applyNumberFormat="1" applyFont="1" applyFill="1" applyBorder="1" applyAlignment="1">
      <alignment horizontal="center" vertical="center"/>
    </xf>
    <xf numFmtId="166" fontId="1" fillId="4" borderId="39" xfId="0" applyNumberFormat="1" applyFont="1" applyFill="1" applyBorder="1" applyAlignment="1">
      <alignment horizontal="center" vertical="center"/>
    </xf>
    <xf numFmtId="10" fontId="1" fillId="4" borderId="38" xfId="0" applyNumberFormat="1" applyFont="1" applyFill="1" applyBorder="1" applyAlignment="1">
      <alignment horizontal="center" vertical="center"/>
    </xf>
    <xf numFmtId="10" fontId="1" fillId="4" borderId="33" xfId="0" applyNumberFormat="1" applyFont="1" applyFill="1" applyBorder="1" applyAlignment="1">
      <alignment horizontal="center" vertical="center"/>
    </xf>
    <xf numFmtId="10" fontId="1" fillId="4" borderId="39" xfId="0" applyNumberFormat="1" applyFont="1" applyFill="1" applyBorder="1" applyAlignment="1">
      <alignment horizontal="center" vertical="center"/>
    </xf>
    <xf numFmtId="10" fontId="1" fillId="4" borderId="9" xfId="0" applyNumberFormat="1" applyFont="1" applyFill="1" applyBorder="1" applyAlignment="1">
      <alignment horizontal="center" vertical="center"/>
    </xf>
    <xf numFmtId="10" fontId="1" fillId="4" borderId="0" xfId="0" applyNumberFormat="1" applyFont="1" applyFill="1" applyBorder="1" applyAlignment="1">
      <alignment horizontal="center" vertical="center"/>
    </xf>
    <xf numFmtId="10" fontId="1" fillId="4" borderId="5" xfId="0" applyNumberFormat="1" applyFont="1" applyFill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0" fontId="1" fillId="4" borderId="31" xfId="0" applyNumberFormat="1" applyFont="1" applyFill="1" applyBorder="1" applyAlignment="1">
      <alignment horizontal="center" vertical="center" shrinkToFit="1"/>
    </xf>
    <xf numFmtId="0" fontId="4" fillId="4" borderId="3" xfId="0" applyFont="1" applyFill="1" applyBorder="1" applyAlignment="1">
      <alignment horizontal="center" vertical="center" shrinkToFit="1"/>
    </xf>
    <xf numFmtId="49" fontId="4" fillId="4" borderId="20" xfId="0" applyNumberFormat="1" applyFont="1" applyFill="1" applyBorder="1" applyAlignment="1">
      <alignment horizontal="center" vertical="center" shrinkToFit="1"/>
    </xf>
    <xf numFmtId="0" fontId="1" fillId="4" borderId="30" xfId="0" applyNumberFormat="1" applyFont="1" applyFill="1" applyBorder="1" applyAlignment="1">
      <alignment horizontal="center" vertical="center" shrinkToFit="1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3" borderId="44" xfId="0" applyFill="1" applyBorder="1" applyAlignment="1">
      <alignment horizontal="center" vertical="center" wrapText="1"/>
    </xf>
    <xf numFmtId="49" fontId="0" fillId="0" borderId="35" xfId="0" applyNumberFormat="1" applyBorder="1" applyAlignment="1">
      <alignment horizontal="center" vertical="center" wrapText="1"/>
    </xf>
    <xf numFmtId="0" fontId="0" fillId="3" borderId="46" xfId="0" applyFill="1" applyBorder="1" applyAlignment="1">
      <alignment horizontal="center" vertical="center" wrapText="1"/>
    </xf>
    <xf numFmtId="49" fontId="0" fillId="0" borderId="47" xfId="0" applyNumberFormat="1" applyBorder="1" applyAlignment="1">
      <alignment horizontal="center" vertical="center"/>
    </xf>
    <xf numFmtId="0" fontId="0" fillId="0" borderId="48" xfId="0" applyBorder="1" applyAlignment="1">
      <alignment horizontal="center"/>
    </xf>
    <xf numFmtId="0" fontId="1" fillId="0" borderId="12" xfId="0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49" fontId="1" fillId="0" borderId="13" xfId="0" applyNumberFormat="1" applyFont="1" applyBorder="1" applyAlignment="1">
      <alignment horizontal="center" shrinkToFit="1"/>
    </xf>
    <xf numFmtId="49" fontId="0" fillId="4" borderId="34" xfId="0" applyNumberFormat="1" applyFill="1" applyBorder="1" applyAlignment="1">
      <alignment horizontal="center" vertical="center" shrinkToFit="1"/>
    </xf>
    <xf numFmtId="49" fontId="0" fillId="4" borderId="35" xfId="0" applyNumberFormat="1" applyFill="1" applyBorder="1" applyAlignment="1">
      <alignment horizontal="center" vertical="center" shrinkToFit="1"/>
    </xf>
    <xf numFmtId="49" fontId="0" fillId="4" borderId="36" xfId="0" applyNumberFormat="1" applyFill="1" applyBorder="1" applyAlignment="1">
      <alignment horizontal="center" vertical="center" shrinkToFit="1"/>
    </xf>
    <xf numFmtId="49" fontId="0" fillId="4" borderId="9" xfId="0" applyNumberFormat="1" applyFill="1" applyBorder="1" applyAlignment="1">
      <alignment horizontal="center" vertical="center" shrinkToFit="1"/>
    </xf>
    <xf numFmtId="49" fontId="0" fillId="4" borderId="0" xfId="0" applyNumberFormat="1" applyFill="1" applyBorder="1" applyAlignment="1">
      <alignment horizontal="center" vertic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shrinkToFit="1"/>
    </xf>
    <xf numFmtId="0" fontId="0" fillId="0" borderId="9" xfId="0" applyBorder="1" applyAlignment="1"/>
    <xf numFmtId="0" fontId="0" fillId="0" borderId="0" xfId="0" applyBorder="1" applyAlignment="1"/>
    <xf numFmtId="170" fontId="0" fillId="0" borderId="11" xfId="0" applyNumberFormat="1" applyBorder="1"/>
    <xf numFmtId="0" fontId="1" fillId="4" borderId="38" xfId="0" applyNumberFormat="1" applyFont="1" applyFill="1" applyBorder="1" applyAlignment="1">
      <alignment horizontal="center" vertical="center" shrinkToFit="1"/>
    </xf>
    <xf numFmtId="0" fontId="1" fillId="4" borderId="33" xfId="0" applyNumberFormat="1" applyFont="1" applyFill="1" applyBorder="1" applyAlignment="1">
      <alignment horizontal="center" vertical="center" shrinkToFit="1"/>
    </xf>
    <xf numFmtId="0" fontId="1" fillId="4" borderId="39" xfId="0" applyNumberFormat="1" applyFont="1" applyFill="1" applyBorder="1" applyAlignment="1">
      <alignment horizontal="center" vertical="center" shrinkToFit="1"/>
    </xf>
    <xf numFmtId="0" fontId="1" fillId="0" borderId="13" xfId="0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2" fillId="4" borderId="0" xfId="0" applyFont="1" applyFill="1" applyBorder="1" applyAlignment="1">
      <alignment horizontal="left" vertical="center" indent="2" shrinkToFit="1"/>
    </xf>
    <xf numFmtId="0" fontId="2" fillId="4" borderId="5" xfId="0" applyFont="1" applyFill="1" applyBorder="1" applyAlignment="1">
      <alignment horizontal="left" vertical="center" indent="2" shrinkToFit="1"/>
    </xf>
    <xf numFmtId="168" fontId="2" fillId="4" borderId="0" xfId="0" applyNumberFormat="1" applyFont="1" applyFill="1" applyBorder="1" applyAlignment="1">
      <alignment horizontal="left" indent="2" shrinkToFit="1"/>
    </xf>
    <xf numFmtId="168" fontId="2" fillId="4" borderId="5" xfId="0" applyNumberFormat="1" applyFont="1" applyFill="1" applyBorder="1" applyAlignment="1">
      <alignment horizontal="left" indent="2" shrinkToFit="1"/>
    </xf>
    <xf numFmtId="166" fontId="1" fillId="4" borderId="38" xfId="0" applyNumberFormat="1" applyFont="1" applyFill="1" applyBorder="1" applyAlignment="1">
      <alignment horizontal="center" vertical="center" shrinkToFit="1"/>
    </xf>
    <xf numFmtId="166" fontId="1" fillId="4" borderId="33" xfId="0" applyNumberFormat="1" applyFont="1" applyFill="1" applyBorder="1" applyAlignment="1">
      <alignment horizontal="center" vertical="center" shrinkToFit="1"/>
    </xf>
    <xf numFmtId="166" fontId="1" fillId="4" borderId="39" xfId="0" applyNumberFormat="1" applyFont="1" applyFill="1" applyBorder="1" applyAlignment="1">
      <alignment horizontal="center" vertical="center" shrinkToFit="1"/>
    </xf>
    <xf numFmtId="10" fontId="1" fillId="4" borderId="38" xfId="0" applyNumberFormat="1" applyFont="1" applyFill="1" applyBorder="1" applyAlignment="1">
      <alignment horizontal="center" vertical="center" shrinkToFit="1"/>
    </xf>
    <xf numFmtId="10" fontId="1" fillId="4" borderId="33" xfId="0" applyNumberFormat="1" applyFont="1" applyFill="1" applyBorder="1" applyAlignment="1">
      <alignment horizontal="center" vertical="center" shrinkToFit="1"/>
    </xf>
    <xf numFmtId="10" fontId="1" fillId="4" borderId="39" xfId="0" applyNumberFormat="1" applyFont="1" applyFill="1" applyBorder="1" applyAlignment="1">
      <alignment horizontal="center" vertical="center" shrinkToFit="1"/>
    </xf>
    <xf numFmtId="0" fontId="1" fillId="4" borderId="9" xfId="0" applyNumberFormat="1" applyFont="1" applyFill="1" applyBorder="1" applyAlignment="1">
      <alignment horizontal="center" vertical="center" shrinkToFit="1"/>
    </xf>
    <xf numFmtId="0" fontId="1" fillId="4" borderId="0" xfId="0" applyNumberFormat="1" applyFont="1" applyFill="1" applyBorder="1" applyAlignment="1">
      <alignment horizontal="center" vertical="center" shrinkToFit="1"/>
    </xf>
    <xf numFmtId="0" fontId="1" fillId="4" borderId="5" xfId="0" applyNumberFormat="1" applyFon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49" fontId="0" fillId="4" borderId="23" xfId="0" applyNumberForma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vertical="center" shrinkToFit="1"/>
    </xf>
    <xf numFmtId="0" fontId="0" fillId="4" borderId="3" xfId="0" applyFill="1" applyBorder="1" applyAlignment="1">
      <alignment horizontal="center" shrinkToFit="1"/>
    </xf>
    <xf numFmtId="49" fontId="0" fillId="4" borderId="3" xfId="0" applyNumberFormat="1" applyFill="1" applyBorder="1" applyAlignment="1">
      <alignment vertical="center" shrinkToFit="1"/>
    </xf>
    <xf numFmtId="49" fontId="0" fillId="4" borderId="17" xfId="0" applyNumberFormat="1" applyFill="1" applyBorder="1" applyAlignment="1">
      <alignment vertical="center" shrinkToFit="1"/>
    </xf>
    <xf numFmtId="49" fontId="0" fillId="0" borderId="13" xfId="0" applyNumberFormat="1" applyBorder="1"/>
    <xf numFmtId="49" fontId="0" fillId="0" borderId="14" xfId="0" applyNumberFormat="1" applyBorder="1"/>
    <xf numFmtId="0" fontId="1" fillId="4" borderId="31" xfId="0" applyNumberFormat="1" applyFont="1" applyFill="1" applyBorder="1" applyAlignment="1">
      <alignment horizontal="center" vertical="center" shrinkToFit="1"/>
    </xf>
    <xf numFmtId="0" fontId="1" fillId="4" borderId="49" xfId="0" applyNumberFormat="1" applyFont="1" applyFill="1" applyBorder="1" applyAlignment="1">
      <alignment horizontal="center" vertical="center" shrinkToFit="1"/>
    </xf>
    <xf numFmtId="0" fontId="1" fillId="4" borderId="32" xfId="0" applyNumberFormat="1" applyFont="1" applyFill="1" applyBorder="1" applyAlignment="1">
      <alignment horizontal="center" vertical="center" shrinkToFit="1"/>
    </xf>
    <xf numFmtId="0" fontId="0" fillId="0" borderId="40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45" xfId="0" applyNumberFormat="1" applyBorder="1" applyAlignment="1">
      <alignment horizontal="center" vertical="center"/>
    </xf>
    <xf numFmtId="0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4" borderId="17" xfId="0" applyNumberFormat="1" applyFill="1" applyBorder="1" applyAlignment="1">
      <alignment horizontal="center" vertical="center" shrinkToFit="1"/>
    </xf>
    <xf numFmtId="0" fontId="1" fillId="4" borderId="51" xfId="0" applyNumberFormat="1" applyFont="1" applyFill="1" applyBorder="1" applyAlignment="1">
      <alignment horizontal="center" vertic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wrapText="1" shrinkToFit="1"/>
    </xf>
    <xf numFmtId="49" fontId="0" fillId="4" borderId="20" xfId="0" applyNumberFormat="1" applyFill="1" applyBorder="1" applyAlignment="1">
      <alignment horizontal="center" vertical="center" shrinkToFit="1"/>
    </xf>
    <xf numFmtId="49" fontId="0" fillId="4" borderId="3" xfId="0" applyNumberFormat="1" applyFill="1" applyBorder="1" applyAlignment="1">
      <alignment horizontal="center" vertical="center" shrinkToFit="1"/>
    </xf>
    <xf numFmtId="0" fontId="1" fillId="4" borderId="47" xfId="0" applyNumberFormat="1" applyFont="1" applyFill="1" applyBorder="1" applyAlignment="1">
      <alignment horizontal="center" vertical="center" shrinkToFit="1"/>
    </xf>
    <xf numFmtId="0" fontId="1" fillId="4" borderId="50" xfId="0" applyNumberFormat="1" applyFont="1" applyFill="1" applyBorder="1" applyAlignment="1">
      <alignment horizontal="center" vertical="center" shrinkToFit="1"/>
    </xf>
    <xf numFmtId="0" fontId="1" fillId="4" borderId="50" xfId="0" applyNumberFormat="1" applyFont="1" applyFill="1" applyBorder="1" applyAlignment="1">
      <alignment horizontal="center" vertical="center" wrapText="1" shrinkToFit="1"/>
    </xf>
    <xf numFmtId="0" fontId="1" fillId="5" borderId="22" xfId="0" applyFont="1" applyFill="1" applyBorder="1" applyAlignment="1">
      <alignment horizontal="center" vertical="center" wrapText="1" shrinkToFit="1"/>
    </xf>
    <xf numFmtId="0" fontId="1" fillId="5" borderId="3" xfId="0" applyFont="1" applyFill="1" applyBorder="1" applyAlignment="1">
      <alignment horizontal="center" vertical="center" wrapText="1" shrinkToFit="1"/>
    </xf>
    <xf numFmtId="0" fontId="1" fillId="5" borderId="50" xfId="0" applyNumberFormat="1" applyFont="1" applyFill="1" applyBorder="1" applyAlignment="1">
      <alignment horizontal="center" vertical="center" wrapText="1" shrinkToFit="1"/>
    </xf>
    <xf numFmtId="0" fontId="1" fillId="5" borderId="33" xfId="0" quotePrefix="1" applyFont="1" applyFill="1" applyBorder="1" applyAlignment="1">
      <alignment horizontal="center" vertical="center" shrinkToFit="1"/>
    </xf>
    <xf numFmtId="0" fontId="1" fillId="5" borderId="33" xfId="0" applyFont="1" applyFill="1" applyBorder="1" applyAlignment="1">
      <alignment horizontal="center" vertical="center" shrinkToFit="1"/>
    </xf>
    <xf numFmtId="0" fontId="1" fillId="5" borderId="39" xfId="0" applyFont="1" applyFill="1" applyBorder="1" applyAlignment="1">
      <alignment horizontal="center" vertical="center" shrinkToFit="1"/>
    </xf>
    <xf numFmtId="0" fontId="1" fillId="5" borderId="0" xfId="0" applyFont="1" applyFill="1" applyBorder="1" applyAlignment="1">
      <alignment horizontal="center" vertical="center" shrinkToFit="1"/>
    </xf>
    <xf numFmtId="0" fontId="1" fillId="5" borderId="5" xfId="0" applyFont="1" applyFill="1" applyBorder="1" applyAlignment="1">
      <alignment horizontal="center" vertical="center" shrinkToFit="1"/>
    </xf>
    <xf numFmtId="0" fontId="1" fillId="5" borderId="35" xfId="0" applyFont="1" applyFill="1" applyBorder="1" applyAlignment="1">
      <alignment horizontal="center" vertical="center" shrinkToFit="1"/>
    </xf>
    <xf numFmtId="0" fontId="1" fillId="5" borderId="36" xfId="0" applyFont="1" applyFill="1" applyBorder="1" applyAlignment="1">
      <alignment horizontal="center" vertical="center" shrinkToFit="1"/>
    </xf>
    <xf numFmtId="170" fontId="0" fillId="6" borderId="52" xfId="0" applyNumberFormat="1" applyFill="1" applyBorder="1" applyAlignment="1">
      <alignment horizontal="center" vertical="center" shrinkToFit="1"/>
    </xf>
    <xf numFmtId="10" fontId="0" fillId="6" borderId="52" xfId="0" applyNumberFormat="1" applyFill="1" applyBorder="1" applyAlignment="1">
      <alignment horizontal="center" vertical="center" shrinkToFit="1"/>
    </xf>
    <xf numFmtId="168" fontId="0" fillId="6" borderId="52" xfId="0" applyNumberFormat="1" applyFill="1" applyBorder="1" applyAlignment="1">
      <alignment horizontal="center" shrinkToFit="1"/>
    </xf>
    <xf numFmtId="169" fontId="0" fillId="6" borderId="52" xfId="0" applyNumberFormat="1" applyFill="1" applyBorder="1" applyAlignment="1">
      <alignment horizontal="center" shrinkToFit="1"/>
    </xf>
    <xf numFmtId="0" fontId="0" fillId="0" borderId="18" xfId="0" applyBorder="1"/>
    <xf numFmtId="0" fontId="0" fillId="6" borderId="53" xfId="0" applyNumberFormat="1" applyFill="1" applyBorder="1" applyAlignment="1">
      <alignment horizontal="center" vertical="center"/>
    </xf>
    <xf numFmtId="0" fontId="0" fillId="6" borderId="54" xfId="0" applyNumberFormat="1" applyFill="1" applyBorder="1" applyAlignment="1">
      <alignment horizontal="center" vertical="center"/>
    </xf>
    <xf numFmtId="0" fontId="0" fillId="6" borderId="55" xfId="0" applyNumberFormat="1" applyFill="1" applyBorder="1" applyAlignment="1">
      <alignment horizontal="center" vertical="center"/>
    </xf>
    <xf numFmtId="0" fontId="0" fillId="6" borderId="56" xfId="0" applyNumberForma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ont>
        <b val="0"/>
        <i/>
        <color theme="0" tint="-0.34998626667073579"/>
      </font>
    </dxf>
    <dxf>
      <font>
        <b val="0"/>
        <i/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D$69" lockText="1" noThreeD="1"/>
</file>

<file path=xl/ctrlProps/ctrlProp2.xml><?xml version="1.0" encoding="utf-8"?>
<formControlPr xmlns="http://schemas.microsoft.com/office/spreadsheetml/2009/9/main" objectType="Drop" dropStyle="combo" dx="16" fmlaLink="$E$77" fmlaRange="$E$69:$E$76" noThreeD="1" sel="5" val="0"/>
</file>

<file path=xl/ctrlProps/ctrlProp3.xml><?xml version="1.0" encoding="utf-8"?>
<formControlPr xmlns="http://schemas.microsoft.com/office/spreadsheetml/2009/9/main" objectType="CheckBox" fmlaLink="$H$69" lockText="1" noThreeD="1"/>
</file>

<file path=xl/ctrlProps/ctrlProp4.xml><?xml version="1.0" encoding="utf-8"?>
<formControlPr xmlns="http://schemas.microsoft.com/office/spreadsheetml/2009/9/main" objectType="CheckBox" fmlaLink="$I$69" lockText="1" noThreeD="1"/>
</file>

<file path=xl/ctrlProps/ctrlProp5.xml><?xml version="1.0" encoding="utf-8"?>
<formControlPr xmlns="http://schemas.microsoft.com/office/spreadsheetml/2009/9/main" objectType="Drop" dropLines="2" dropStyle="combo" dx="16" fmlaLink="$J$71" fmlaRange="$J$69:$J$70" noThreeD="1" sel="1" val="0"/>
</file>

<file path=xl/ctrlProps/ctrlProp6.xml><?xml version="1.0" encoding="utf-8"?>
<formControlPr xmlns="http://schemas.microsoft.com/office/spreadsheetml/2009/9/main" objectType="Drop" dropLines="2" dropStyle="combo" dx="16" fmlaLink="$K$71" fmlaRange="$K$69:$K$70" noThreeD="1" sel="2" val="0"/>
</file>

<file path=xl/ctrlProps/ctrlProp7.xml><?xml version="1.0" encoding="utf-8"?>
<formControlPr xmlns="http://schemas.microsoft.com/office/spreadsheetml/2009/9/main" objectType="CheckBox" fmlaLink="$K$80" lockText="1" noThreeD="1"/>
</file>

<file path=xl/ctrlProps/ctrlProp8.xml><?xml version="1.0" encoding="utf-8"?>
<formControlPr xmlns="http://schemas.microsoft.com/office/spreadsheetml/2009/9/main" objectType="Drop" dropLines="3" dropStyle="combo" dx="16" fmlaLink="$D$83" fmlaRange="$D$80:$D$82" noThreeD="1" sel="1" val="0"/>
</file>

<file path=xl/ctrlProps/ctrlProp9.xml><?xml version="1.0" encoding="utf-8"?>
<formControlPr xmlns="http://schemas.microsoft.com/office/spreadsheetml/2009/9/main" objectType="Drop" dropLines="3" dropStyle="combo" dx="16" fmlaLink="$F$83" fmlaRange="$F$80:$F$82" noThreeD="1" sel="1" val="0"/>
</file>

<file path=xl/ctrlProps/ctrlProp10.xml><?xml version="1.0" encoding="utf-8"?>
<formControlPr xmlns="http://schemas.microsoft.com/office/spreadsheetml/2009/9/main" objectType="Drop" dropLines="3" dropStyle="combo" dx="16" fmlaLink="$I$83" fmlaRange="$I$80:$I$82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381230</xdr:colOff>
          <xdr:row>40</xdr:row>
          <xdr:rowOff>8165</xdr:rowOff>
        </xdr:from>
        <xdr:to>
          <xdr:col>3</xdr:col>
          <xdr:colOff>961792</xdr:colOff>
          <xdr:row>41</xdr:row>
          <xdr:rowOff>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141963</xdr:colOff>
          <xdr:row>39</xdr:row>
          <xdr:rowOff>190458</xdr:rowOff>
        </xdr:from>
        <xdr:to>
          <xdr:col>5</xdr:col>
          <xdr:colOff>1124414</xdr:colOff>
          <xdr:row>40</xdr:row>
          <xdr:rowOff>187134</xdr:rowOff>
        </xdr:to>
        <xdr:sp macro="" textlink="">
          <xdr:nvSpPr>
            <xdr:cNvPr id="7205" name="Drop Down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381230</xdr:colOff>
          <xdr:row>40</xdr:row>
          <xdr:rowOff>8165</xdr:rowOff>
        </xdr:from>
        <xdr:ext cx="580562" cy="182335"/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381230</xdr:colOff>
          <xdr:row>40</xdr:row>
          <xdr:rowOff>8165</xdr:rowOff>
        </xdr:from>
        <xdr:ext cx="580562" cy="182335"/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40</xdr:row>
          <xdr:rowOff>3855</xdr:rowOff>
        </xdr:from>
        <xdr:to>
          <xdr:col>9</xdr:col>
          <xdr:colOff>1123950</xdr:colOff>
          <xdr:row>40</xdr:row>
          <xdr:rowOff>185487</xdr:rowOff>
        </xdr:to>
        <xdr:sp macro="" textlink="">
          <xdr:nvSpPr>
            <xdr:cNvPr id="7210" name="Drop Down 42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142875</xdr:colOff>
          <xdr:row>40</xdr:row>
          <xdr:rowOff>3855</xdr:rowOff>
        </xdr:from>
        <xdr:ext cx="981075" cy="181632"/>
        <xdr:sp macro="" textlink="">
          <xdr:nvSpPr>
            <xdr:cNvPr id="7211" name="Drop Down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381230</xdr:colOff>
          <xdr:row>43</xdr:row>
          <xdr:rowOff>8165</xdr:rowOff>
        </xdr:from>
        <xdr:ext cx="580562" cy="182335"/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Start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809629</xdr:colOff>
          <xdr:row>43</xdr:row>
          <xdr:rowOff>0</xdr:rowOff>
        </xdr:from>
        <xdr:to>
          <xdr:col>4</xdr:col>
          <xdr:colOff>493838</xdr:colOff>
          <xdr:row>44</xdr:row>
          <xdr:rowOff>0</xdr:rowOff>
        </xdr:to>
        <xdr:sp macro="" textlink="">
          <xdr:nvSpPr>
            <xdr:cNvPr id="7213" name="Drop Down 4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809629</xdr:colOff>
          <xdr:row>43</xdr:row>
          <xdr:rowOff>0</xdr:rowOff>
        </xdr:from>
        <xdr:ext cx="981075" cy="190500"/>
        <xdr:sp macro="" textlink="">
          <xdr:nvSpPr>
            <xdr:cNvPr id="7214" name="Drop Down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406856</xdr:colOff>
          <xdr:row>42</xdr:row>
          <xdr:rowOff>190500</xdr:rowOff>
        </xdr:from>
        <xdr:ext cx="1781171" cy="190500"/>
        <xdr:sp macro="" textlink="">
          <xdr:nvSpPr>
            <xdr:cNvPr id="7215" name="Drop Down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95"/>
  <sheetViews>
    <sheetView tabSelected="1" zoomScaleNormal="100" workbookViewId="0">
      <pane ySplit="3" topLeftCell="A4" activePane="bottomLeft" state="frozen"/>
      <selection pane="bottomLeft" activeCell="G23" sqref="G23"/>
    </sheetView>
  </sheetViews>
  <sheetFormatPr defaultRowHeight="15" x14ac:dyDescent="0.25"/>
  <cols>
    <col min="1" max="1" width="1.7109375" customWidth="1"/>
    <col min="2" max="2" width="20" customWidth="1"/>
    <col min="3" max="3" width="11.140625" customWidth="1"/>
    <col min="4" max="11" width="19.42578125" customWidth="1"/>
    <col min="12" max="12" width="0.28515625" customWidth="1"/>
    <col min="13" max="13" width="17.7109375" customWidth="1"/>
    <col min="14" max="14" width="0.28515625" customWidth="1"/>
  </cols>
  <sheetData>
    <row r="1" spans="2:15" ht="9" customHeight="1" thickBot="1" x14ac:dyDescent="0.3"/>
    <row r="2" spans="2:15" ht="15.75" customHeight="1" thickTop="1" x14ac:dyDescent="0.25">
      <c r="B2" s="32" t="s">
        <v>0</v>
      </c>
      <c r="C2" s="50" t="s">
        <v>0</v>
      </c>
      <c r="D2" s="34" t="s">
        <v>1</v>
      </c>
      <c r="E2" s="34"/>
      <c r="F2" s="34"/>
      <c r="G2" s="34"/>
      <c r="H2" s="34"/>
      <c r="I2" s="34"/>
      <c r="J2" s="34"/>
      <c r="K2" s="35"/>
      <c r="L2" s="20"/>
      <c r="M2" s="36" t="s">
        <v>27</v>
      </c>
      <c r="N2" s="20"/>
      <c r="O2" s="168"/>
    </row>
    <row r="3" spans="2:15" ht="15.75" thickBot="1" x14ac:dyDescent="0.3">
      <c r="B3" s="33"/>
      <c r="C3" s="52"/>
      <c r="D3" s="4" t="s">
        <v>2</v>
      </c>
      <c r="E3" s="5" t="s">
        <v>3</v>
      </c>
      <c r="F3" s="5" t="s">
        <v>4</v>
      </c>
      <c r="G3" s="5" t="s">
        <v>5</v>
      </c>
      <c r="H3" s="5" t="s">
        <v>6</v>
      </c>
      <c r="I3" s="5" t="s">
        <v>7</v>
      </c>
      <c r="J3" s="5" t="s">
        <v>8</v>
      </c>
      <c r="K3" s="21" t="s">
        <v>9</v>
      </c>
      <c r="L3" s="22"/>
      <c r="M3" s="37"/>
      <c r="N3" s="22"/>
      <c r="O3" s="168"/>
    </row>
    <row r="4" spans="2:15" x14ac:dyDescent="0.25">
      <c r="B4" s="53" t="s">
        <v>23</v>
      </c>
      <c r="C4" s="39" t="s">
        <v>107</v>
      </c>
      <c r="D4" s="54" t="s">
        <v>16</v>
      </c>
      <c r="E4" s="55"/>
      <c r="F4" s="55"/>
      <c r="G4" s="55"/>
      <c r="H4" s="55"/>
      <c r="I4" s="55"/>
      <c r="J4" s="55"/>
      <c r="K4" s="56"/>
      <c r="L4" s="1"/>
      <c r="M4" s="169" t="s">
        <v>10</v>
      </c>
      <c r="N4" s="1"/>
      <c r="O4" s="168"/>
    </row>
    <row r="5" spans="2:15" ht="15.75" thickBot="1" x14ac:dyDescent="0.3">
      <c r="B5" s="48"/>
      <c r="C5" s="43"/>
      <c r="D5" s="57">
        <f>IF(AND(NOT(ISBLANK($M$4)),NOT(ISBLANK($M$6))),
HEX2DEC($M$4)+HEX2DEC($M$6)*POWER(2,8)/POWER(2,16)*165-40,
"no data")</f>
        <v>25.09765625</v>
      </c>
      <c r="E5" s="58"/>
      <c r="F5" s="58"/>
      <c r="G5" s="58"/>
      <c r="H5" s="58"/>
      <c r="I5" s="58"/>
      <c r="J5" s="58"/>
      <c r="K5" s="59"/>
      <c r="L5" s="23"/>
      <c r="M5" s="170"/>
      <c r="N5" s="23"/>
      <c r="O5" s="168"/>
    </row>
    <row r="6" spans="2:15" ht="15" customHeight="1" x14ac:dyDescent="0.25">
      <c r="B6" s="48" t="s">
        <v>24</v>
      </c>
      <c r="C6" s="38" t="s">
        <v>108</v>
      </c>
      <c r="D6" s="45" t="s">
        <v>17</v>
      </c>
      <c r="E6" s="46"/>
      <c r="F6" s="46"/>
      <c r="G6" s="46"/>
      <c r="H6" s="46"/>
      <c r="I6" s="46"/>
      <c r="J6" s="46"/>
      <c r="K6" s="47"/>
      <c r="L6" s="1"/>
      <c r="M6" s="169" t="s">
        <v>28</v>
      </c>
      <c r="N6" s="1"/>
      <c r="O6" s="168"/>
    </row>
    <row r="7" spans="2:15" ht="15.75" thickBot="1" x14ac:dyDescent="0.3">
      <c r="B7" s="48"/>
      <c r="C7" s="43"/>
      <c r="D7" s="57">
        <f>IF(AND(NOT(ISBLANK($M$4)),NOT(ISBLANK($M$6))),
HEX2DEC($M$4)+HEX2DEC($M$6)*POWER(2,8)/POWER(2,16)*165-40,
"no data")</f>
        <v>25.09765625</v>
      </c>
      <c r="E7" s="58"/>
      <c r="F7" s="58"/>
      <c r="G7" s="58"/>
      <c r="H7" s="58"/>
      <c r="I7" s="58"/>
      <c r="J7" s="58"/>
      <c r="K7" s="59"/>
      <c r="L7" s="23"/>
      <c r="M7" s="170"/>
      <c r="N7" s="23"/>
      <c r="O7" s="168"/>
    </row>
    <row r="8" spans="2:15" x14ac:dyDescent="0.25">
      <c r="B8" s="48" t="s">
        <v>25</v>
      </c>
      <c r="C8" s="38" t="s">
        <v>109</v>
      </c>
      <c r="D8" s="45" t="s">
        <v>19</v>
      </c>
      <c r="E8" s="46"/>
      <c r="F8" s="46"/>
      <c r="G8" s="46"/>
      <c r="H8" s="46"/>
      <c r="I8" s="46"/>
      <c r="J8" s="46"/>
      <c r="K8" s="47"/>
      <c r="L8" s="1"/>
      <c r="M8" s="169" t="s">
        <v>10</v>
      </c>
      <c r="N8" s="1"/>
      <c r="O8" s="168"/>
    </row>
    <row r="9" spans="2:15" ht="15.75" thickBot="1" x14ac:dyDescent="0.3">
      <c r="B9" s="48"/>
      <c r="C9" s="43"/>
      <c r="D9" s="60">
        <f>IF(AND(NOT(ISBLANK($M$8)),NOT(ISBLANK($M$10))),
HEX2DEC($M$8)+HEX2DEC($M$10)*POWER(2,8)/POWER(2,16),
"no data")</f>
        <v>0.75</v>
      </c>
      <c r="E9" s="61"/>
      <c r="F9" s="61"/>
      <c r="G9" s="61"/>
      <c r="H9" s="61"/>
      <c r="I9" s="61"/>
      <c r="J9" s="61"/>
      <c r="K9" s="62"/>
      <c r="L9" s="23"/>
      <c r="M9" s="170"/>
      <c r="N9" s="23"/>
      <c r="O9" s="168"/>
    </row>
    <row r="10" spans="2:15" x14ac:dyDescent="0.25">
      <c r="B10" s="48" t="s">
        <v>26</v>
      </c>
      <c r="C10" s="38" t="s">
        <v>110</v>
      </c>
      <c r="D10" s="45" t="s">
        <v>20</v>
      </c>
      <c r="E10" s="46"/>
      <c r="F10" s="46"/>
      <c r="G10" s="46"/>
      <c r="H10" s="46"/>
      <c r="I10" s="46"/>
      <c r="J10" s="46"/>
      <c r="K10" s="47"/>
      <c r="L10" s="1"/>
      <c r="M10" s="169" t="s">
        <v>21</v>
      </c>
      <c r="N10" s="1"/>
      <c r="O10" s="168"/>
    </row>
    <row r="11" spans="2:15" ht="15.75" thickBot="1" x14ac:dyDescent="0.3">
      <c r="B11" s="48"/>
      <c r="C11" s="43"/>
      <c r="D11" s="63">
        <f>IF(AND(NOT(ISBLANK($M$8)),NOT(ISBLANK($M$10))),
HEX2DEC($M$8)+HEX2DEC($M$10)*POWER(2,8)/POWER(2,16),
"no data")</f>
        <v>0.75</v>
      </c>
      <c r="E11" s="64"/>
      <c r="F11" s="64"/>
      <c r="G11" s="64"/>
      <c r="H11" s="64"/>
      <c r="I11" s="64"/>
      <c r="J11" s="64"/>
      <c r="K11" s="65"/>
      <c r="L11" s="44"/>
      <c r="M11" s="170"/>
      <c r="N11" s="44"/>
      <c r="O11" s="168"/>
    </row>
    <row r="12" spans="2:15" x14ac:dyDescent="0.25">
      <c r="B12" s="26" t="s">
        <v>22</v>
      </c>
      <c r="C12" s="66" t="s">
        <v>111</v>
      </c>
      <c r="D12" s="94" t="s">
        <v>29</v>
      </c>
      <c r="E12" s="95" t="s">
        <v>30</v>
      </c>
      <c r="F12" s="95" t="s">
        <v>31</v>
      </c>
      <c r="G12" s="95" t="s">
        <v>32</v>
      </c>
      <c r="H12" s="95" t="s">
        <v>33</v>
      </c>
      <c r="I12" s="160" t="s">
        <v>11</v>
      </c>
      <c r="J12" s="160"/>
      <c r="K12" s="161"/>
      <c r="L12" s="1"/>
      <c r="M12" s="169" t="s">
        <v>10</v>
      </c>
      <c r="N12" s="1"/>
      <c r="O12" s="168"/>
    </row>
    <row r="13" spans="2:15" x14ac:dyDescent="0.25">
      <c r="B13" s="26"/>
      <c r="C13" s="66"/>
      <c r="D13" s="70" t="s">
        <v>34</v>
      </c>
      <c r="E13" s="69" t="s">
        <v>35</v>
      </c>
      <c r="F13" s="69" t="s">
        <v>36</v>
      </c>
      <c r="G13" s="69" t="s">
        <v>37</v>
      </c>
      <c r="H13" s="69" t="s">
        <v>38</v>
      </c>
      <c r="I13" s="160"/>
      <c r="J13" s="160"/>
      <c r="K13" s="161"/>
      <c r="L13" s="1"/>
      <c r="M13" s="171"/>
      <c r="N13" s="1"/>
      <c r="O13" s="168"/>
    </row>
    <row r="14" spans="2:15" ht="15.75" thickBot="1" x14ac:dyDescent="0.3">
      <c r="B14" s="49"/>
      <c r="C14" s="67"/>
      <c r="D14" s="71" t="str">
        <f>INDEX(D50:D51,D49+1)</f>
        <v>Data not ready</v>
      </c>
      <c r="E14" s="68" t="str">
        <f t="shared" ref="E14:H14" si="0">INDEX(E50:E51,E49+1)</f>
        <v>No Interrupt</v>
      </c>
      <c r="F14" s="68" t="str">
        <f t="shared" si="0"/>
        <v>No Interrupt</v>
      </c>
      <c r="G14" s="68" t="str">
        <f t="shared" si="0"/>
        <v>No Interrupt</v>
      </c>
      <c r="H14" s="68" t="str">
        <f t="shared" si="0"/>
        <v>No Interrupt</v>
      </c>
      <c r="I14" s="157" t="s">
        <v>13</v>
      </c>
      <c r="J14" s="158"/>
      <c r="K14" s="159"/>
      <c r="L14" s="24"/>
      <c r="M14" s="170"/>
      <c r="N14" s="24"/>
      <c r="O14" s="168"/>
    </row>
    <row r="15" spans="2:15" x14ac:dyDescent="0.25">
      <c r="B15" s="26" t="s">
        <v>46</v>
      </c>
      <c r="C15" s="42" t="s">
        <v>112</v>
      </c>
      <c r="D15" s="89" t="s">
        <v>72</v>
      </c>
      <c r="E15" s="90"/>
      <c r="F15" s="90"/>
      <c r="G15" s="90"/>
      <c r="H15" s="90"/>
      <c r="I15" s="90"/>
      <c r="J15" s="90"/>
      <c r="K15" s="91"/>
      <c r="L15" s="1"/>
      <c r="M15" s="169" t="s">
        <v>18</v>
      </c>
      <c r="N15" s="1"/>
      <c r="O15" s="168"/>
    </row>
    <row r="16" spans="2:15" ht="15.75" thickBot="1" x14ac:dyDescent="0.3">
      <c r="B16" s="49"/>
      <c r="C16" s="41"/>
      <c r="D16" s="116">
        <f>HEX2DEC(M15)/POWER(2,8)*165-40</f>
        <v>124.35546875</v>
      </c>
      <c r="E16" s="117"/>
      <c r="F16" s="117"/>
      <c r="G16" s="117"/>
      <c r="H16" s="117"/>
      <c r="I16" s="117"/>
      <c r="J16" s="117"/>
      <c r="K16" s="118"/>
      <c r="L16" s="24"/>
      <c r="M16" s="170"/>
      <c r="N16" s="24"/>
      <c r="O16" s="168"/>
    </row>
    <row r="17" spans="2:15" x14ac:dyDescent="0.25">
      <c r="B17" s="26" t="s">
        <v>47</v>
      </c>
      <c r="C17" s="40" t="s">
        <v>113</v>
      </c>
      <c r="D17" s="89" t="s">
        <v>73</v>
      </c>
      <c r="E17" s="90"/>
      <c r="F17" s="90"/>
      <c r="G17" s="90"/>
      <c r="H17" s="90"/>
      <c r="I17" s="90"/>
      <c r="J17" s="90"/>
      <c r="K17" s="91"/>
      <c r="L17" s="1"/>
      <c r="M17" s="169" t="s">
        <v>78</v>
      </c>
      <c r="N17" s="1"/>
      <c r="O17" s="168"/>
    </row>
    <row r="18" spans="2:15" ht="15.75" thickBot="1" x14ac:dyDescent="0.3">
      <c r="B18" s="49"/>
      <c r="C18" s="41"/>
      <c r="D18" s="119">
        <f>HEX2DEC(M17)/POWER(2,8)</f>
        <v>0.8125</v>
      </c>
      <c r="E18" s="120"/>
      <c r="F18" s="120"/>
      <c r="G18" s="120"/>
      <c r="H18" s="120"/>
      <c r="I18" s="120"/>
      <c r="J18" s="120"/>
      <c r="K18" s="121"/>
      <c r="L18" s="24"/>
      <c r="M18" s="170"/>
      <c r="N18" s="24"/>
      <c r="O18" s="168"/>
    </row>
    <row r="19" spans="2:15" x14ac:dyDescent="0.25">
      <c r="B19" s="26" t="s">
        <v>48</v>
      </c>
      <c r="C19" s="42" t="s">
        <v>114</v>
      </c>
      <c r="D19" s="94" t="s">
        <v>49</v>
      </c>
      <c r="E19" s="95" t="s">
        <v>55</v>
      </c>
      <c r="F19" s="95" t="s">
        <v>56</v>
      </c>
      <c r="G19" s="95" t="s">
        <v>57</v>
      </c>
      <c r="H19" s="95" t="s">
        <v>58</v>
      </c>
      <c r="I19" s="162" t="s">
        <v>11</v>
      </c>
      <c r="J19" s="162"/>
      <c r="K19" s="163"/>
      <c r="L19" s="1"/>
      <c r="M19" s="169" t="s">
        <v>60</v>
      </c>
      <c r="N19" s="1"/>
      <c r="O19" s="168"/>
    </row>
    <row r="20" spans="2:15" x14ac:dyDescent="0.25">
      <c r="B20" s="26"/>
      <c r="C20" s="42"/>
      <c r="D20" s="70" t="s">
        <v>50</v>
      </c>
      <c r="E20" s="69" t="s">
        <v>51</v>
      </c>
      <c r="F20" s="69" t="s">
        <v>52</v>
      </c>
      <c r="G20" s="69" t="s">
        <v>53</v>
      </c>
      <c r="H20" s="69" t="s">
        <v>54</v>
      </c>
      <c r="I20" s="160"/>
      <c r="J20" s="160"/>
      <c r="K20" s="161"/>
      <c r="L20" s="1"/>
      <c r="M20" s="172"/>
      <c r="N20" s="1"/>
      <c r="O20" s="168"/>
    </row>
    <row r="21" spans="2:15" ht="15.75" thickBot="1" x14ac:dyDescent="0.3">
      <c r="B21" s="49"/>
      <c r="C21" s="41"/>
      <c r="D21" s="71" t="str">
        <f>INDEX(D55:D56,D54+1)</f>
        <v>Disabled</v>
      </c>
      <c r="E21" s="68" t="str">
        <f t="shared" ref="E21:H21" si="1">INDEX(E55:E56,E54+1)</f>
        <v>Disabled</v>
      </c>
      <c r="F21" s="68" t="str">
        <f t="shared" si="1"/>
        <v>Disabled</v>
      </c>
      <c r="G21" s="68" t="str">
        <f t="shared" si="1"/>
        <v>Disabled</v>
      </c>
      <c r="H21" s="68" t="str">
        <f t="shared" si="1"/>
        <v>Disabled</v>
      </c>
      <c r="I21" s="157" t="s">
        <v>13</v>
      </c>
      <c r="J21" s="158"/>
      <c r="K21" s="159"/>
      <c r="L21" s="24"/>
      <c r="M21" s="170"/>
      <c r="N21" s="24"/>
      <c r="O21" s="168"/>
    </row>
    <row r="22" spans="2:15" ht="15.75" thickBot="1" x14ac:dyDescent="0.3">
      <c r="B22" s="51" t="s">
        <v>61</v>
      </c>
      <c r="C22" s="38" t="s">
        <v>115</v>
      </c>
      <c r="D22" s="89" t="s">
        <v>62</v>
      </c>
      <c r="E22" s="90"/>
      <c r="F22" s="90"/>
      <c r="G22" s="90"/>
      <c r="H22" s="90"/>
      <c r="I22" s="90"/>
      <c r="J22" s="90"/>
      <c r="K22" s="91"/>
      <c r="L22" s="1"/>
      <c r="M22" s="137" t="str">
        <f>D24</f>
        <v>0x75</v>
      </c>
      <c r="N22" s="1"/>
      <c r="O22" s="168"/>
    </row>
    <row r="23" spans="2:15" ht="15.75" thickBot="1" x14ac:dyDescent="0.3">
      <c r="B23" s="27"/>
      <c r="C23" s="39"/>
      <c r="D23" s="92"/>
      <c r="E23" s="93"/>
      <c r="F23" s="93"/>
      <c r="G23" s="164">
        <v>19</v>
      </c>
      <c r="H23" s="112" t="str">
        <f>"(Actual Offset = "&amp;C61&amp;"°C)"</f>
        <v>(Actual Offset = 18.86°C)</v>
      </c>
      <c r="I23" s="112"/>
      <c r="J23" s="112"/>
      <c r="K23" s="113"/>
      <c r="L23" s="1"/>
      <c r="M23" s="137"/>
      <c r="N23" s="1"/>
      <c r="O23" s="168"/>
    </row>
    <row r="24" spans="2:15" x14ac:dyDescent="0.25">
      <c r="B24" s="53"/>
      <c r="C24" s="43"/>
      <c r="D24" s="99" t="str">
        <f>"0x"&amp;C59</f>
        <v>0x75</v>
      </c>
      <c r="E24" s="100"/>
      <c r="F24" s="100"/>
      <c r="G24" s="100"/>
      <c r="H24" s="100"/>
      <c r="I24" s="100"/>
      <c r="J24" s="100"/>
      <c r="K24" s="101"/>
      <c r="L24" s="24"/>
      <c r="M24" s="138"/>
      <c r="N24" s="24"/>
      <c r="O24" s="168"/>
    </row>
    <row r="25" spans="2:15" ht="15.75" thickBot="1" x14ac:dyDescent="0.3">
      <c r="B25" s="26" t="s">
        <v>66</v>
      </c>
      <c r="C25" s="42" t="s">
        <v>116</v>
      </c>
      <c r="D25" s="89" t="s">
        <v>67</v>
      </c>
      <c r="E25" s="90"/>
      <c r="F25" s="90"/>
      <c r="G25" s="90"/>
      <c r="H25" s="90"/>
      <c r="I25" s="90"/>
      <c r="J25" s="90"/>
      <c r="K25" s="91"/>
      <c r="L25" s="1"/>
      <c r="M25" s="137" t="str">
        <f>D27</f>
        <v>0x7E</v>
      </c>
      <c r="N25" s="1"/>
      <c r="O25" s="168"/>
    </row>
    <row r="26" spans="2:15" ht="15.75" thickBot="1" x14ac:dyDescent="0.3">
      <c r="B26" s="26"/>
      <c r="C26" s="42"/>
      <c r="D26" s="92"/>
      <c r="E26" s="93"/>
      <c r="F26" s="93"/>
      <c r="G26" s="165">
        <v>0.248</v>
      </c>
      <c r="H26" s="112" t="str">
        <f>"(Actual Offset = "&amp;100*C66&amp;"%)"</f>
        <v>(Actual Offset = 24.7%)</v>
      </c>
      <c r="I26" s="112"/>
      <c r="J26" s="112"/>
      <c r="K26" s="113"/>
      <c r="L26" s="1"/>
      <c r="M26" s="137"/>
      <c r="N26" s="1"/>
      <c r="O26" s="168"/>
    </row>
    <row r="27" spans="2:15" x14ac:dyDescent="0.25">
      <c r="B27" s="49"/>
      <c r="C27" s="41"/>
      <c r="D27" s="99" t="str">
        <f>"0x"&amp;C64</f>
        <v>0x7E</v>
      </c>
      <c r="E27" s="100"/>
      <c r="F27" s="100"/>
      <c r="G27" s="100"/>
      <c r="H27" s="100"/>
      <c r="I27" s="100"/>
      <c r="J27" s="100"/>
      <c r="K27" s="101"/>
      <c r="L27" s="24"/>
      <c r="M27" s="138"/>
      <c r="N27" s="24"/>
      <c r="O27" s="168"/>
    </row>
    <row r="28" spans="2:15" ht="15.75" thickBot="1" x14ac:dyDescent="0.3">
      <c r="B28" s="26" t="s">
        <v>68</v>
      </c>
      <c r="C28" s="40" t="s">
        <v>117</v>
      </c>
      <c r="D28" s="89" t="s">
        <v>75</v>
      </c>
      <c r="E28" s="90"/>
      <c r="F28" s="90"/>
      <c r="G28" s="90"/>
      <c r="H28" s="90"/>
      <c r="I28" s="90"/>
      <c r="J28" s="90"/>
      <c r="K28" s="91"/>
      <c r="L28" s="1"/>
      <c r="M28" s="137" t="str">
        <f>D30</f>
        <v>0xF8</v>
      </c>
      <c r="N28" s="1"/>
      <c r="O28" s="168"/>
    </row>
    <row r="29" spans="2:15" ht="15.75" thickBot="1" x14ac:dyDescent="0.3">
      <c r="B29" s="26"/>
      <c r="C29" s="42"/>
      <c r="D29" s="92"/>
      <c r="E29" s="93"/>
      <c r="F29" s="93"/>
      <c r="G29" s="166">
        <v>120</v>
      </c>
      <c r="H29" s="114" t="str">
        <f>"(Actual Offset = "&amp;ROUND(HEX2DEC(RIGHT(D30,2))/POWER(2,8)*165-40,2)&amp;"°C)"</f>
        <v>(Actual Offset = 119.84°C)</v>
      </c>
      <c r="I29" s="114"/>
      <c r="J29" s="114"/>
      <c r="K29" s="115"/>
      <c r="L29" s="1"/>
      <c r="M29" s="137"/>
      <c r="N29" s="1"/>
      <c r="O29" s="168"/>
    </row>
    <row r="30" spans="2:15" x14ac:dyDescent="0.25">
      <c r="B30" s="49"/>
      <c r="C30" s="41"/>
      <c r="D30" s="99" t="str">
        <f>"0x"&amp;DEC2HEX(FLOOR((G29+40)/165*POWER(2,8),1),2)</f>
        <v>0xF8</v>
      </c>
      <c r="E30" s="100"/>
      <c r="F30" s="100"/>
      <c r="G30" s="100"/>
      <c r="H30" s="100"/>
      <c r="I30" s="100"/>
      <c r="J30" s="100"/>
      <c r="K30" s="101"/>
      <c r="L30" s="24"/>
      <c r="M30" s="138"/>
      <c r="N30" s="24"/>
      <c r="O30" s="168"/>
    </row>
    <row r="31" spans="2:15" ht="15.75" thickBot="1" x14ac:dyDescent="0.3">
      <c r="B31" s="26" t="s">
        <v>69</v>
      </c>
      <c r="C31" s="42" t="s">
        <v>118</v>
      </c>
      <c r="D31" s="89" t="s">
        <v>74</v>
      </c>
      <c r="E31" s="90"/>
      <c r="F31" s="90"/>
      <c r="G31" s="90"/>
      <c r="H31" s="90"/>
      <c r="I31" s="90"/>
      <c r="J31" s="90"/>
      <c r="K31" s="91"/>
      <c r="L31" s="1"/>
      <c r="M31" s="137" t="str">
        <f>D33</f>
        <v>0x1F</v>
      </c>
      <c r="N31" s="1"/>
      <c r="O31" s="168"/>
    </row>
    <row r="32" spans="2:15" ht="15.75" thickBot="1" x14ac:dyDescent="0.3">
      <c r="B32" s="26"/>
      <c r="C32" s="42"/>
      <c r="D32" s="92"/>
      <c r="E32" s="93"/>
      <c r="F32" s="93"/>
      <c r="G32" s="166">
        <v>-20</v>
      </c>
      <c r="H32" s="114" t="str">
        <f>"(Actual Offset = "&amp;ROUND(HEX2DEC(RIGHT(D33,2))/POWER(2,8)*165-40,2)&amp;"°C)"</f>
        <v>(Actual Offset = -20.02°C)</v>
      </c>
      <c r="I32" s="114"/>
      <c r="J32" s="114"/>
      <c r="K32" s="115"/>
      <c r="L32" s="1"/>
      <c r="M32" s="137"/>
      <c r="N32" s="1"/>
      <c r="O32" s="168"/>
    </row>
    <row r="33" spans="2:15" x14ac:dyDescent="0.25">
      <c r="B33" s="49"/>
      <c r="C33" s="41"/>
      <c r="D33" s="99" t="str">
        <f>"0x"&amp;DEC2HEX(FLOOR((G32+40)/165*POWER(2,8),1),2)</f>
        <v>0x1F</v>
      </c>
      <c r="E33" s="100"/>
      <c r="F33" s="100"/>
      <c r="G33" s="100"/>
      <c r="H33" s="100"/>
      <c r="I33" s="100"/>
      <c r="J33" s="100"/>
      <c r="K33" s="101"/>
      <c r="L33" s="24"/>
      <c r="M33" s="138"/>
      <c r="N33" s="24"/>
      <c r="O33" s="168"/>
    </row>
    <row r="34" spans="2:15" ht="15.75" thickBot="1" x14ac:dyDescent="0.3">
      <c r="B34" s="26" t="s">
        <v>70</v>
      </c>
      <c r="C34" s="40" t="s">
        <v>119</v>
      </c>
      <c r="D34" s="89" t="s">
        <v>76</v>
      </c>
      <c r="E34" s="90"/>
      <c r="F34" s="90"/>
      <c r="G34" s="90"/>
      <c r="H34" s="90"/>
      <c r="I34" s="90"/>
      <c r="J34" s="90"/>
      <c r="K34" s="91"/>
      <c r="L34" s="1"/>
      <c r="M34" s="137" t="str">
        <f>D36</f>
        <v>0xF3</v>
      </c>
      <c r="N34" s="1"/>
      <c r="O34" s="168"/>
    </row>
    <row r="35" spans="2:15" ht="15.75" thickBot="1" x14ac:dyDescent="0.3">
      <c r="B35" s="26"/>
      <c r="C35" s="42"/>
      <c r="D35" s="92"/>
      <c r="E35" s="93"/>
      <c r="F35" s="93"/>
      <c r="G35" s="167">
        <v>0.95</v>
      </c>
      <c r="H35" s="114" t="str">
        <f>"(Actual Offset = "&amp;ROUND(HEX2DEC(RIGHT(D36,2))/POWER(2,8)*100,2)&amp;"%)"</f>
        <v>(Actual Offset = 94.92%)</v>
      </c>
      <c r="I35" s="114"/>
      <c r="J35" s="114"/>
      <c r="K35" s="115"/>
      <c r="L35" s="1"/>
      <c r="M35" s="137"/>
      <c r="N35" s="1"/>
      <c r="O35" s="168"/>
    </row>
    <row r="36" spans="2:15" x14ac:dyDescent="0.25">
      <c r="B36" s="49"/>
      <c r="C36" s="41"/>
      <c r="D36" s="122" t="str">
        <f>"0x"&amp;DEC2HEX(FLOOR(G35*POWER(2,8),1),2)</f>
        <v>0xF3</v>
      </c>
      <c r="E36" s="123"/>
      <c r="F36" s="123"/>
      <c r="G36" s="123"/>
      <c r="H36" s="123"/>
      <c r="I36" s="123"/>
      <c r="J36" s="123"/>
      <c r="K36" s="124"/>
      <c r="L36" s="24"/>
      <c r="M36" s="138"/>
      <c r="N36" s="24"/>
      <c r="O36" s="168"/>
    </row>
    <row r="37" spans="2:15" ht="15.75" thickBot="1" x14ac:dyDescent="0.3">
      <c r="B37" s="26" t="s">
        <v>71</v>
      </c>
      <c r="C37" s="42" t="s">
        <v>120</v>
      </c>
      <c r="D37" s="89" t="s">
        <v>77</v>
      </c>
      <c r="E37" s="90"/>
      <c r="F37" s="90"/>
      <c r="G37" s="90"/>
      <c r="H37" s="90"/>
      <c r="I37" s="90"/>
      <c r="J37" s="90"/>
      <c r="K37" s="91"/>
      <c r="L37" s="1"/>
      <c r="M37" s="137" t="str">
        <f>D39</f>
        <v>0x19</v>
      </c>
      <c r="N37" s="1"/>
      <c r="O37" s="168"/>
    </row>
    <row r="38" spans="2:15" ht="15.75" thickBot="1" x14ac:dyDescent="0.3">
      <c r="B38" s="26"/>
      <c r="C38" s="42"/>
      <c r="D38" s="92"/>
      <c r="E38" s="93"/>
      <c r="F38" s="93"/>
      <c r="G38" s="167">
        <v>0.1</v>
      </c>
      <c r="H38" s="114" t="str">
        <f>"(Actual Offset = "&amp;ROUND(HEX2DEC(RIGHT(D39,2))/POWER(2,8)*100,2)&amp;"%)"</f>
        <v>(Actual Offset = 9.77%)</v>
      </c>
      <c r="I38" s="114"/>
      <c r="J38" s="114"/>
      <c r="K38" s="115"/>
      <c r="L38" s="1"/>
      <c r="M38" s="137"/>
      <c r="N38" s="1"/>
      <c r="O38" s="168"/>
    </row>
    <row r="39" spans="2:15" x14ac:dyDescent="0.25">
      <c r="B39" s="49"/>
      <c r="C39" s="41"/>
      <c r="D39" s="122" t="str">
        <f>"0x"&amp;DEC2HEX(FLOOR(G38*POWER(2,8),1),2)</f>
        <v>0x19</v>
      </c>
      <c r="E39" s="123"/>
      <c r="F39" s="123"/>
      <c r="G39" s="123"/>
      <c r="H39" s="123"/>
      <c r="I39" s="123"/>
      <c r="J39" s="123"/>
      <c r="K39" s="124"/>
      <c r="L39" s="24"/>
      <c r="M39" s="138"/>
      <c r="N39" s="24"/>
      <c r="O39" s="168"/>
    </row>
    <row r="40" spans="2:15" x14ac:dyDescent="0.25">
      <c r="B40" s="51" t="s">
        <v>79</v>
      </c>
      <c r="C40" s="38" t="s">
        <v>121</v>
      </c>
      <c r="D40" s="94" t="s">
        <v>80</v>
      </c>
      <c r="E40" s="125" t="s">
        <v>81</v>
      </c>
      <c r="F40" s="125"/>
      <c r="G40" s="125"/>
      <c r="H40" s="126" t="s">
        <v>82</v>
      </c>
      <c r="I40" s="126" t="s">
        <v>45</v>
      </c>
      <c r="J40" s="126" t="s">
        <v>91</v>
      </c>
      <c r="K40" s="127" t="s">
        <v>92</v>
      </c>
      <c r="L40" s="1"/>
      <c r="M40" s="139" t="str">
        <f>"0x"&amp;BIN2HEX(CONCATENATE(D42,E42,H42,I42,J42,K42),2)</f>
        <v>0xC1</v>
      </c>
      <c r="N40" s="1"/>
      <c r="O40" s="168"/>
    </row>
    <row r="41" spans="2:15" x14ac:dyDescent="0.25">
      <c r="B41" s="27"/>
      <c r="C41" s="39"/>
      <c r="D41" s="128"/>
      <c r="E41" s="129"/>
      <c r="F41" s="129"/>
      <c r="G41" s="129"/>
      <c r="H41" s="130"/>
      <c r="I41" s="130"/>
      <c r="J41" s="130"/>
      <c r="K41" s="131"/>
      <c r="L41" s="1"/>
      <c r="M41" s="140"/>
      <c r="N41" s="1"/>
      <c r="O41" s="168"/>
    </row>
    <row r="42" spans="2:15" x14ac:dyDescent="0.25">
      <c r="B42" s="53"/>
      <c r="C42" s="43"/>
      <c r="D42" s="71">
        <f>IF(D69,1,0)</f>
        <v>1</v>
      </c>
      <c r="E42" s="134" t="str">
        <f>DEC2BIN(E77-1,3)</f>
        <v>100</v>
      </c>
      <c r="F42" s="134"/>
      <c r="G42" s="135"/>
      <c r="H42" s="68">
        <f>IF(H69,1,0)</f>
        <v>0</v>
      </c>
      <c r="I42" s="68">
        <f>IF(I69,1,0)</f>
        <v>0</v>
      </c>
      <c r="J42" s="68">
        <f>J71-1</f>
        <v>0</v>
      </c>
      <c r="K42" s="136">
        <f>K71-1</f>
        <v>1</v>
      </c>
      <c r="L42" s="24"/>
      <c r="M42" s="137"/>
      <c r="N42" s="24"/>
      <c r="O42" s="168"/>
    </row>
    <row r="43" spans="2:15" x14ac:dyDescent="0.25">
      <c r="B43" s="81" t="s">
        <v>99</v>
      </c>
      <c r="C43" s="40" t="s">
        <v>122</v>
      </c>
      <c r="D43" s="146" t="s">
        <v>97</v>
      </c>
      <c r="E43" s="147"/>
      <c r="F43" s="148" t="s">
        <v>98</v>
      </c>
      <c r="G43" s="148"/>
      <c r="H43" s="154" t="s">
        <v>11</v>
      </c>
      <c r="I43" s="148" t="s">
        <v>99</v>
      </c>
      <c r="J43" s="148"/>
      <c r="K43" s="127" t="s">
        <v>96</v>
      </c>
      <c r="L43" s="82"/>
      <c r="M43" s="138" t="str">
        <f>"0x"&amp;BIN2HEX(CONCATENATE(D45,F45,H45,I45,K45),2)</f>
        <v>0x04</v>
      </c>
      <c r="N43" s="82"/>
      <c r="O43" s="168"/>
    </row>
    <row r="44" spans="2:15" x14ac:dyDescent="0.25">
      <c r="B44" s="26"/>
      <c r="C44" s="42"/>
      <c r="D44" s="149"/>
      <c r="E44" s="150"/>
      <c r="F44" s="150"/>
      <c r="G44" s="150"/>
      <c r="H44" s="155"/>
      <c r="I44" s="150"/>
      <c r="J44" s="150"/>
      <c r="K44" s="144"/>
      <c r="L44" s="1"/>
      <c r="M44" s="137"/>
      <c r="N44" s="1"/>
      <c r="O44" s="168"/>
    </row>
    <row r="45" spans="2:15" ht="15.75" thickBot="1" x14ac:dyDescent="0.3">
      <c r="B45" s="83"/>
      <c r="C45" s="84"/>
      <c r="D45" s="151" t="str">
        <f>DEC2BIN(D83-1,2)</f>
        <v>00</v>
      </c>
      <c r="E45" s="152"/>
      <c r="F45" s="153" t="str">
        <f>DEC2BIN(F83-1,2)</f>
        <v>00</v>
      </c>
      <c r="G45" s="153"/>
      <c r="H45" s="156">
        <v>0</v>
      </c>
      <c r="I45" s="153" t="str">
        <f>DEC2BIN(I83-1,2)</f>
        <v>10</v>
      </c>
      <c r="J45" s="153"/>
      <c r="K45" s="145">
        <f>IF(K80,1,0)</f>
        <v>0</v>
      </c>
      <c r="L45" s="85"/>
      <c r="M45" s="141"/>
      <c r="N45" s="85"/>
      <c r="O45" s="168"/>
    </row>
    <row r="46" spans="2:15" ht="15.75" thickTop="1" x14ac:dyDescent="0.25"/>
    <row r="48" spans="2:15" hidden="1" x14ac:dyDescent="0.25">
      <c r="B48" s="86" t="str">
        <f>"Register 0x"&amp;C12</f>
        <v>Register 0x0x04</v>
      </c>
      <c r="C48" s="88" t="s">
        <v>39</v>
      </c>
      <c r="D48" s="78" t="str">
        <f>D13</f>
        <v>DRDY_STATUS</v>
      </c>
      <c r="E48" s="78" t="str">
        <f>E13</f>
        <v>HH_STATUS</v>
      </c>
      <c r="F48" s="78" t="str">
        <f>F13</f>
        <v>HL_STATUS</v>
      </c>
      <c r="G48" s="78" t="str">
        <f>G13</f>
        <v>TH_STATUS</v>
      </c>
      <c r="H48" s="78" t="str">
        <f>H13</f>
        <v>TL_STATUS</v>
      </c>
      <c r="I48" s="79" t="s">
        <v>11</v>
      </c>
      <c r="J48" s="79"/>
      <c r="K48" s="80"/>
    </row>
    <row r="49" spans="2:11" hidden="1" x14ac:dyDescent="0.25">
      <c r="B49" s="87" t="str">
        <f>B12</f>
        <v>Interrupt/Data Ready</v>
      </c>
      <c r="C49" s="13" t="str">
        <f>HEX2BIN(M12,8)</f>
        <v>00000000</v>
      </c>
      <c r="D49" s="13" t="str">
        <f>LEFT($C49,1)</f>
        <v>0</v>
      </c>
      <c r="E49" s="13" t="str">
        <f>RIGHT(LEFT($C49,2),1)</f>
        <v>0</v>
      </c>
      <c r="F49" s="13" t="str">
        <f>RIGHT(LEFT($C49,3),1)</f>
        <v>0</v>
      </c>
      <c r="G49" s="13" t="str">
        <f>RIGHT(LEFT($C49,4),1)</f>
        <v>0</v>
      </c>
      <c r="H49" s="13" t="str">
        <f>RIGHT(LEFT($C49,5),1)</f>
        <v>0</v>
      </c>
      <c r="I49" s="13">
        <v>0</v>
      </c>
      <c r="J49" s="13">
        <v>0</v>
      </c>
      <c r="K49" s="72">
        <v>0</v>
      </c>
    </row>
    <row r="50" spans="2:11" hidden="1" x14ac:dyDescent="0.25">
      <c r="B50" s="73" t="s">
        <v>40</v>
      </c>
      <c r="C50" s="74"/>
      <c r="D50" s="13" t="s">
        <v>42</v>
      </c>
      <c r="E50" s="13" t="s">
        <v>44</v>
      </c>
      <c r="F50" s="13" t="s">
        <v>44</v>
      </c>
      <c r="G50" s="13" t="s">
        <v>44</v>
      </c>
      <c r="H50" s="13" t="s">
        <v>44</v>
      </c>
      <c r="I50" s="13" t="s">
        <v>12</v>
      </c>
      <c r="J50" s="13" t="s">
        <v>12</v>
      </c>
      <c r="K50" s="72" t="s">
        <v>12</v>
      </c>
    </row>
    <row r="51" spans="2:11" ht="15.75" hidden="1" thickBot="1" x14ac:dyDescent="0.3">
      <c r="B51" s="75" t="s">
        <v>41</v>
      </c>
      <c r="C51" s="76"/>
      <c r="D51" s="3" t="s">
        <v>43</v>
      </c>
      <c r="E51" s="3" t="s">
        <v>45</v>
      </c>
      <c r="F51" s="3" t="s">
        <v>45</v>
      </c>
      <c r="G51" s="3" t="s">
        <v>45</v>
      </c>
      <c r="H51" s="3" t="s">
        <v>45</v>
      </c>
      <c r="I51" s="3" t="s">
        <v>12</v>
      </c>
      <c r="J51" s="3" t="s">
        <v>12</v>
      </c>
      <c r="K51" s="77" t="s">
        <v>12</v>
      </c>
    </row>
    <row r="52" spans="2:11" ht="3.75" hidden="1" customHeight="1" thickBot="1" x14ac:dyDescent="0.3">
      <c r="F52" s="25"/>
    </row>
    <row r="53" spans="2:11" hidden="1" x14ac:dyDescent="0.25">
      <c r="B53" s="86" t="str">
        <f>"Register 0x"&amp;C19</f>
        <v>Register 0x0x07</v>
      </c>
      <c r="C53" s="88" t="s">
        <v>39</v>
      </c>
      <c r="D53" s="78" t="str">
        <f>D19</f>
        <v>Data Ready Mask</v>
      </c>
      <c r="E53" s="78" t="str">
        <f t="shared" ref="E53:H53" si="2">E19</f>
        <v>Humidity High Mask</v>
      </c>
      <c r="F53" s="78" t="str">
        <f t="shared" si="2"/>
        <v>Humidity Low Mask</v>
      </c>
      <c r="G53" s="78" t="str">
        <f t="shared" si="2"/>
        <v>Temp High Mask</v>
      </c>
      <c r="H53" s="78" t="str">
        <f t="shared" si="2"/>
        <v>Temp Low Mask</v>
      </c>
      <c r="I53" s="79" t="s">
        <v>11</v>
      </c>
      <c r="J53" s="79"/>
      <c r="K53" s="80"/>
    </row>
    <row r="54" spans="2:11" hidden="1" x14ac:dyDescent="0.25">
      <c r="B54" s="87">
        <f>B16</f>
        <v>0</v>
      </c>
      <c r="C54" s="13" t="str">
        <f>HEX2BIN(M19,8)</f>
        <v>01111000</v>
      </c>
      <c r="D54" s="13" t="str">
        <f>LEFT($C54,1)</f>
        <v>0</v>
      </c>
      <c r="E54" s="13" t="str">
        <f>RIGHT(LEFT($C54,2),1)</f>
        <v>1</v>
      </c>
      <c r="F54" s="13" t="str">
        <f>RIGHT(LEFT($C54,3),1)</f>
        <v>1</v>
      </c>
      <c r="G54" s="13" t="str">
        <f>RIGHT(LEFT($C54,4),1)</f>
        <v>1</v>
      </c>
      <c r="H54" s="13" t="str">
        <f>RIGHT(LEFT($C54,5),1)</f>
        <v>1</v>
      </c>
      <c r="I54" s="13">
        <v>0</v>
      </c>
      <c r="J54" s="13">
        <v>0</v>
      </c>
      <c r="K54" s="72">
        <v>0</v>
      </c>
    </row>
    <row r="55" spans="2:11" hidden="1" x14ac:dyDescent="0.25">
      <c r="B55" s="73" t="s">
        <v>40</v>
      </c>
      <c r="C55" s="74"/>
      <c r="D55" s="13" t="s">
        <v>14</v>
      </c>
      <c r="E55" s="13" t="s">
        <v>59</v>
      </c>
      <c r="F55" s="13" t="s">
        <v>59</v>
      </c>
      <c r="G55" s="13" t="s">
        <v>59</v>
      </c>
      <c r="H55" s="13" t="s">
        <v>59</v>
      </c>
      <c r="I55" s="13" t="s">
        <v>12</v>
      </c>
      <c r="J55" s="13" t="s">
        <v>12</v>
      </c>
      <c r="K55" s="72" t="s">
        <v>12</v>
      </c>
    </row>
    <row r="56" spans="2:11" ht="15.75" hidden="1" thickBot="1" x14ac:dyDescent="0.3">
      <c r="B56" s="75" t="s">
        <v>41</v>
      </c>
      <c r="C56" s="76"/>
      <c r="D56" s="3" t="s">
        <v>59</v>
      </c>
      <c r="E56" s="3" t="s">
        <v>14</v>
      </c>
      <c r="F56" s="3" t="s">
        <v>14</v>
      </c>
      <c r="G56" s="3" t="s">
        <v>14</v>
      </c>
      <c r="H56" s="3" t="s">
        <v>14</v>
      </c>
      <c r="I56" s="3" t="s">
        <v>12</v>
      </c>
      <c r="J56" s="3" t="s">
        <v>12</v>
      </c>
      <c r="K56" s="77" t="s">
        <v>12</v>
      </c>
    </row>
    <row r="57" spans="2:11" ht="3.75" hidden="1" customHeight="1" thickBot="1" x14ac:dyDescent="0.3">
      <c r="F57" s="25"/>
    </row>
    <row r="58" spans="2:11" hidden="1" x14ac:dyDescent="0.25">
      <c r="B58" s="28" t="str">
        <f>"Register 0x"&amp;C22</f>
        <v>Register 0x0x08</v>
      </c>
      <c r="C58" s="29"/>
      <c r="D58" s="102">
        <v>-20.62</v>
      </c>
      <c r="E58" s="102">
        <v>10.32</v>
      </c>
      <c r="F58" s="103">
        <v>5.16</v>
      </c>
      <c r="G58" s="102">
        <v>2.58</v>
      </c>
      <c r="H58" s="102">
        <v>1.28</v>
      </c>
      <c r="I58" s="102">
        <v>0.64</v>
      </c>
      <c r="J58" s="102">
        <v>0.32</v>
      </c>
      <c r="K58" s="104">
        <v>0.16</v>
      </c>
    </row>
    <row r="59" spans="2:11" hidden="1" x14ac:dyDescent="0.25">
      <c r="B59" s="96" t="s">
        <v>63</v>
      </c>
      <c r="C59" s="97" t="str">
        <f>BIN2HEX(CONCATENATE(D59,E59,F59,G59,H59,I59,J59,K59),2)</f>
        <v>75</v>
      </c>
      <c r="D59" s="13">
        <f>IF(G23&lt;0,1,0)</f>
        <v>0</v>
      </c>
      <c r="E59" s="13">
        <f>FLOOR(D60/E58,1)</f>
        <v>1</v>
      </c>
      <c r="F59" s="13">
        <f>FLOOR(E60/F58,1)</f>
        <v>1</v>
      </c>
      <c r="G59" s="13">
        <f>FLOOR(F60/G58,1)</f>
        <v>1</v>
      </c>
      <c r="H59" s="13">
        <f>FLOOR(G60/H58,1)</f>
        <v>0</v>
      </c>
      <c r="I59" s="13">
        <f>FLOOR(H60/I58,1)</f>
        <v>1</v>
      </c>
      <c r="J59" s="13">
        <f>FLOOR(I60/J58,1)</f>
        <v>0</v>
      </c>
      <c r="K59" s="72">
        <f>FLOOR(J60/K58,1)</f>
        <v>1</v>
      </c>
    </row>
    <row r="60" spans="2:11" hidden="1" x14ac:dyDescent="0.25">
      <c r="B60" s="30" t="s">
        <v>64</v>
      </c>
      <c r="C60" s="31"/>
      <c r="D60" s="13">
        <f>G23-D59*D58</f>
        <v>19</v>
      </c>
      <c r="E60" s="13">
        <f>D60-E59*E58</f>
        <v>8.68</v>
      </c>
      <c r="F60" s="13">
        <f>E60-F59*F58</f>
        <v>3.5199999999999996</v>
      </c>
      <c r="G60" s="13">
        <f>F60-G59*G58</f>
        <v>0.9399999999999995</v>
      </c>
      <c r="H60" s="13">
        <f>G60-H59*H58</f>
        <v>0.9399999999999995</v>
      </c>
      <c r="I60" s="13">
        <f>H60-I59*I58</f>
        <v>0.29999999999999949</v>
      </c>
      <c r="J60" s="13">
        <f>I60-J59*J58</f>
        <v>0.29999999999999949</v>
      </c>
      <c r="K60" s="72">
        <f>J60-K59*K58</f>
        <v>0.13999999999999949</v>
      </c>
    </row>
    <row r="61" spans="2:11" ht="15.75" hidden="1" thickBot="1" x14ac:dyDescent="0.3">
      <c r="B61" s="8" t="s">
        <v>65</v>
      </c>
      <c r="C61" s="98">
        <f>SUM(D61:K61)</f>
        <v>18.860000000000003</v>
      </c>
      <c r="D61" s="9">
        <f>D59*D58</f>
        <v>0</v>
      </c>
      <c r="E61" s="9">
        <f t="shared" ref="E61:K61" si="3">E59*E58</f>
        <v>10.32</v>
      </c>
      <c r="F61" s="9">
        <f t="shared" si="3"/>
        <v>5.16</v>
      </c>
      <c r="G61" s="9">
        <f t="shared" si="3"/>
        <v>2.58</v>
      </c>
      <c r="H61" s="9">
        <f t="shared" si="3"/>
        <v>0</v>
      </c>
      <c r="I61" s="9">
        <f t="shared" si="3"/>
        <v>0.64</v>
      </c>
      <c r="J61" s="9">
        <f t="shared" si="3"/>
        <v>0</v>
      </c>
      <c r="K61" s="10">
        <f t="shared" si="3"/>
        <v>0.16</v>
      </c>
    </row>
    <row r="62" spans="2:11" ht="3.75" hidden="1" customHeight="1" thickBot="1" x14ac:dyDescent="0.3">
      <c r="F62" s="25"/>
    </row>
    <row r="63" spans="2:11" hidden="1" x14ac:dyDescent="0.25">
      <c r="B63" s="28" t="str">
        <f>"Register 0x"&amp;C25</f>
        <v>Register 0x0x09</v>
      </c>
      <c r="C63" s="29"/>
      <c r="D63" s="105">
        <v>-0.25</v>
      </c>
      <c r="E63" s="105">
        <v>0.125</v>
      </c>
      <c r="F63" s="105">
        <v>6.3E-2</v>
      </c>
      <c r="G63" s="105">
        <v>3.1E-2</v>
      </c>
      <c r="H63" s="105">
        <v>1.6E-2</v>
      </c>
      <c r="I63" s="105">
        <v>8.0000000000000002E-3</v>
      </c>
      <c r="J63" s="105">
        <v>4.0000000000000001E-3</v>
      </c>
      <c r="K63" s="106">
        <v>2E-3</v>
      </c>
    </row>
    <row r="64" spans="2:11" hidden="1" x14ac:dyDescent="0.25">
      <c r="B64" s="96" t="s">
        <v>63</v>
      </c>
      <c r="C64" s="97" t="str">
        <f>BIN2HEX(CONCATENATE(D64,E64,F64,G64,H64,I64,J64,K64),2)</f>
        <v>7E</v>
      </c>
      <c r="D64" s="109">
        <f>IF(G26&lt;0,1,0)</f>
        <v>0</v>
      </c>
      <c r="E64" s="109">
        <f>FLOOR(D65/E63,1)</f>
        <v>1</v>
      </c>
      <c r="F64" s="109">
        <f>FLOOR(E65/F63,1)</f>
        <v>1</v>
      </c>
      <c r="G64" s="111">
        <f>FLOOR(F65/G63,1)</f>
        <v>1</v>
      </c>
      <c r="H64" s="111">
        <f>FLOOR(G65/H63,1)</f>
        <v>1</v>
      </c>
      <c r="I64" s="111">
        <f>FLOOR(H65/I63,1)</f>
        <v>1</v>
      </c>
      <c r="J64" s="111">
        <f>FLOOR(I65/J63,1)</f>
        <v>1</v>
      </c>
      <c r="K64" s="110">
        <f>FLOOR(J65/K63,1)</f>
        <v>0</v>
      </c>
    </row>
    <row r="65" spans="2:11" hidden="1" x14ac:dyDescent="0.25">
      <c r="B65" s="30" t="s">
        <v>64</v>
      </c>
      <c r="C65" s="31"/>
      <c r="D65" s="107">
        <f>G26-D64*D63</f>
        <v>0.248</v>
      </c>
      <c r="E65" s="107">
        <f>D65-E64*E63</f>
        <v>0.123</v>
      </c>
      <c r="F65" s="107">
        <f>E65-F64*F63</f>
        <v>0.06</v>
      </c>
      <c r="G65" s="107">
        <f>F65-G64*G63</f>
        <v>2.8999999999999998E-2</v>
      </c>
      <c r="H65" s="107">
        <f>G65-H64*H63</f>
        <v>1.2999999999999998E-2</v>
      </c>
      <c r="I65" s="107">
        <f>H65-I64*I63</f>
        <v>4.9999999999999975E-3</v>
      </c>
      <c r="J65" s="107">
        <f>I65-J64*J63</f>
        <v>9.9999999999999742E-4</v>
      </c>
      <c r="K65" s="108">
        <f>J65-K64*K63</f>
        <v>9.9999999999999742E-4</v>
      </c>
    </row>
    <row r="66" spans="2:11" ht="15.75" hidden="1" thickBot="1" x14ac:dyDescent="0.3">
      <c r="B66" s="8" t="s">
        <v>65</v>
      </c>
      <c r="C66" s="98">
        <f>SUM(D66:K66)</f>
        <v>0.247</v>
      </c>
      <c r="D66" s="9">
        <f>D64*D63</f>
        <v>0</v>
      </c>
      <c r="E66" s="9">
        <f t="shared" ref="E66:K66" si="4">E64*E63</f>
        <v>0.125</v>
      </c>
      <c r="F66" s="9">
        <f t="shared" si="4"/>
        <v>6.3E-2</v>
      </c>
      <c r="G66" s="9">
        <f t="shared" si="4"/>
        <v>3.1E-2</v>
      </c>
      <c r="H66" s="9">
        <f t="shared" si="4"/>
        <v>1.6E-2</v>
      </c>
      <c r="I66" s="9">
        <f t="shared" si="4"/>
        <v>8.0000000000000002E-3</v>
      </c>
      <c r="J66" s="9">
        <f t="shared" si="4"/>
        <v>4.0000000000000001E-3</v>
      </c>
      <c r="K66" s="10">
        <f t="shared" si="4"/>
        <v>0</v>
      </c>
    </row>
    <row r="67" spans="2:11" ht="3.75" hidden="1" customHeight="1" thickBot="1" x14ac:dyDescent="0.3">
      <c r="F67" s="25"/>
    </row>
    <row r="68" spans="2:11" hidden="1" x14ac:dyDescent="0.25">
      <c r="B68" s="28" t="str">
        <f>"Register 0x"&amp;C40</f>
        <v>Register 0x0x0E</v>
      </c>
      <c r="C68" s="29"/>
      <c r="D68" s="132" t="str">
        <f>D40</f>
        <v>Soft Reset</v>
      </c>
      <c r="E68" s="132" t="str">
        <f>E40</f>
        <v>Data Rate</v>
      </c>
      <c r="F68" s="11"/>
      <c r="G68" s="11"/>
      <c r="H68" s="132" t="str">
        <f>H40</f>
        <v>Heater</v>
      </c>
      <c r="I68" s="132" t="str">
        <f>I40</f>
        <v>Interrupt</v>
      </c>
      <c r="J68" s="132" t="str">
        <f>J40</f>
        <v>Interrupt Polarity</v>
      </c>
      <c r="K68" s="133" t="str">
        <f>K40</f>
        <v>Interrupt Mode</v>
      </c>
    </row>
    <row r="69" spans="2:11" hidden="1" x14ac:dyDescent="0.25">
      <c r="B69" s="6"/>
      <c r="C69" s="2"/>
      <c r="D69" s="2" t="b">
        <v>1</v>
      </c>
      <c r="E69" s="2" t="s">
        <v>85</v>
      </c>
      <c r="F69" s="2"/>
      <c r="G69" s="2"/>
      <c r="H69" s="2" t="b">
        <v>0</v>
      </c>
      <c r="I69" s="2" t="b">
        <v>0</v>
      </c>
      <c r="J69" s="2" t="s">
        <v>93</v>
      </c>
      <c r="K69" s="7" t="s">
        <v>94</v>
      </c>
    </row>
    <row r="70" spans="2:11" hidden="1" x14ac:dyDescent="0.25">
      <c r="B70" s="6"/>
      <c r="C70" s="2"/>
      <c r="D70" s="2"/>
      <c r="E70" s="13" t="s">
        <v>84</v>
      </c>
      <c r="F70" s="2"/>
      <c r="G70" s="2"/>
      <c r="H70" s="2"/>
      <c r="I70" s="2"/>
      <c r="J70" s="2" t="s">
        <v>15</v>
      </c>
      <c r="K70" s="7" t="s">
        <v>95</v>
      </c>
    </row>
    <row r="71" spans="2:11" hidden="1" x14ac:dyDescent="0.25">
      <c r="B71" s="6"/>
      <c r="C71" s="2"/>
      <c r="D71" s="2"/>
      <c r="E71" s="13" t="s">
        <v>83</v>
      </c>
      <c r="F71" s="2"/>
      <c r="G71" s="2"/>
      <c r="H71" s="2"/>
      <c r="I71" s="2"/>
      <c r="J71" s="2">
        <v>1</v>
      </c>
      <c r="K71" s="7">
        <v>2</v>
      </c>
    </row>
    <row r="72" spans="2:11" hidden="1" x14ac:dyDescent="0.25">
      <c r="B72" s="6"/>
      <c r="C72" s="2"/>
      <c r="D72" s="2"/>
      <c r="E72" s="13" t="s">
        <v>86</v>
      </c>
      <c r="F72" s="2"/>
      <c r="G72" s="2"/>
      <c r="H72" s="2"/>
      <c r="I72" s="2"/>
      <c r="J72" s="2"/>
      <c r="K72" s="7"/>
    </row>
    <row r="73" spans="2:11" hidden="1" x14ac:dyDescent="0.25">
      <c r="B73" s="6"/>
      <c r="C73" s="2"/>
      <c r="D73" s="2"/>
      <c r="E73" s="13" t="s">
        <v>87</v>
      </c>
      <c r="F73" s="2"/>
      <c r="G73" s="2"/>
      <c r="H73" s="2"/>
      <c r="I73" s="2"/>
      <c r="J73" s="2"/>
      <c r="K73" s="7"/>
    </row>
    <row r="74" spans="2:11" hidden="1" x14ac:dyDescent="0.25">
      <c r="B74" s="6"/>
      <c r="C74" s="2"/>
      <c r="D74" s="2"/>
      <c r="E74" s="13" t="s">
        <v>88</v>
      </c>
      <c r="F74" s="2"/>
      <c r="G74" s="2"/>
      <c r="H74" s="2"/>
      <c r="I74" s="2"/>
      <c r="J74" s="2"/>
      <c r="K74" s="7"/>
    </row>
    <row r="75" spans="2:11" hidden="1" x14ac:dyDescent="0.25">
      <c r="B75" s="6"/>
      <c r="C75" s="2"/>
      <c r="D75" s="2"/>
      <c r="E75" s="13" t="s">
        <v>89</v>
      </c>
      <c r="F75" s="2"/>
      <c r="G75" s="2"/>
      <c r="H75" s="2"/>
      <c r="I75" s="2"/>
      <c r="J75" s="2"/>
      <c r="K75" s="7"/>
    </row>
    <row r="76" spans="2:11" hidden="1" x14ac:dyDescent="0.25">
      <c r="B76" s="6"/>
      <c r="C76" s="2"/>
      <c r="D76" s="2"/>
      <c r="E76" s="13" t="s">
        <v>90</v>
      </c>
      <c r="F76" s="2"/>
      <c r="G76" s="2"/>
      <c r="H76" s="2"/>
      <c r="I76" s="2"/>
      <c r="J76" s="2"/>
      <c r="K76" s="7"/>
    </row>
    <row r="77" spans="2:11" ht="15.75" hidden="1" thickBot="1" x14ac:dyDescent="0.3">
      <c r="B77" s="8"/>
      <c r="C77" s="9"/>
      <c r="D77" s="9"/>
      <c r="E77" s="9">
        <v>5</v>
      </c>
      <c r="F77" s="9"/>
      <c r="G77" s="9"/>
      <c r="H77" s="9"/>
      <c r="I77" s="9"/>
      <c r="J77" s="9"/>
      <c r="K77" s="10"/>
    </row>
    <row r="78" spans="2:11" ht="3.75" hidden="1" customHeight="1" thickBot="1" x14ac:dyDescent="0.3">
      <c r="F78" s="25"/>
    </row>
    <row r="79" spans="2:11" hidden="1" x14ac:dyDescent="0.25">
      <c r="B79" s="28" t="str">
        <f>"Register 0x"&amp;C43</f>
        <v>Register 0x0x0F</v>
      </c>
      <c r="C79" s="29"/>
      <c r="D79" s="143" t="str">
        <f>D43</f>
        <v>Temperature Resolution</v>
      </c>
      <c r="E79" s="143"/>
      <c r="F79" s="142" t="str">
        <f>F43</f>
        <v>Humidity Resolution</v>
      </c>
      <c r="G79" s="142"/>
      <c r="H79" s="19" t="str">
        <f>H43</f>
        <v>RESERVED</v>
      </c>
      <c r="I79" s="142" t="str">
        <f>I43</f>
        <v>Measurement Configuration</v>
      </c>
      <c r="J79" s="142"/>
      <c r="K79" s="133" t="str">
        <f>K43</f>
        <v>Start Measurement</v>
      </c>
    </row>
    <row r="80" spans="2:11" hidden="1" x14ac:dyDescent="0.25">
      <c r="B80" s="6"/>
      <c r="C80" s="2"/>
      <c r="D80" s="14" t="s">
        <v>106</v>
      </c>
      <c r="E80" s="14"/>
      <c r="F80" s="14" t="s">
        <v>100</v>
      </c>
      <c r="G80" s="14"/>
      <c r="H80" s="14"/>
      <c r="I80" s="14" t="s">
        <v>105</v>
      </c>
      <c r="J80" s="14"/>
      <c r="K80" s="15" t="b">
        <v>0</v>
      </c>
    </row>
    <row r="81" spans="2:11" hidden="1" x14ac:dyDescent="0.25">
      <c r="B81" s="12"/>
      <c r="C81" s="2"/>
      <c r="D81" s="14" t="s">
        <v>101</v>
      </c>
      <c r="E81" s="14"/>
      <c r="F81" s="14" t="s">
        <v>101</v>
      </c>
      <c r="G81" s="14"/>
      <c r="H81" s="14"/>
      <c r="I81" s="14" t="s">
        <v>103</v>
      </c>
      <c r="J81" s="14"/>
      <c r="K81" s="15"/>
    </row>
    <row r="82" spans="2:11" hidden="1" x14ac:dyDescent="0.25">
      <c r="B82" s="6"/>
      <c r="C82" s="2"/>
      <c r="D82" s="14" t="s">
        <v>102</v>
      </c>
      <c r="E82" s="14"/>
      <c r="F82" s="14" t="s">
        <v>102</v>
      </c>
      <c r="G82" s="14"/>
      <c r="H82" s="14"/>
      <c r="I82" s="14" t="s">
        <v>104</v>
      </c>
      <c r="J82" s="14"/>
      <c r="K82" s="15"/>
    </row>
    <row r="83" spans="2:11" ht="15.75" hidden="1" thickBot="1" x14ac:dyDescent="0.3">
      <c r="B83" s="8"/>
      <c r="C83" s="9"/>
      <c r="D83" s="17">
        <v>1</v>
      </c>
      <c r="E83" s="17"/>
      <c r="F83" s="17">
        <v>1</v>
      </c>
      <c r="G83" s="17"/>
      <c r="H83" s="17"/>
      <c r="I83" s="17">
        <v>3</v>
      </c>
      <c r="J83" s="17"/>
      <c r="K83" s="18"/>
    </row>
    <row r="84" spans="2:11" x14ac:dyDescent="0.25">
      <c r="D84" s="16"/>
      <c r="E84" s="16"/>
      <c r="F84" s="16"/>
      <c r="G84" s="16"/>
      <c r="H84" s="16"/>
      <c r="I84" s="16"/>
      <c r="J84" s="16"/>
      <c r="K84" s="16"/>
    </row>
    <row r="85" spans="2:11" x14ac:dyDescent="0.25">
      <c r="D85" s="16"/>
      <c r="E85" s="16"/>
      <c r="F85" s="16"/>
      <c r="G85" s="16"/>
      <c r="H85" s="16"/>
      <c r="I85" s="16"/>
      <c r="J85" s="16"/>
      <c r="K85" s="16"/>
    </row>
    <row r="86" spans="2:11" x14ac:dyDescent="0.25">
      <c r="D86" s="16"/>
      <c r="E86" s="16"/>
      <c r="F86" s="16"/>
      <c r="G86" s="16"/>
      <c r="H86" s="16"/>
      <c r="I86" s="16"/>
      <c r="J86" s="16"/>
      <c r="K86" s="16"/>
    </row>
    <row r="87" spans="2:11" x14ac:dyDescent="0.25">
      <c r="D87" s="16"/>
      <c r="E87" s="16"/>
      <c r="F87" s="16"/>
      <c r="G87" s="16"/>
      <c r="H87" s="16"/>
      <c r="I87" s="16"/>
      <c r="J87" s="16"/>
      <c r="K87" s="16"/>
    </row>
    <row r="88" spans="2:11" x14ac:dyDescent="0.25">
      <c r="D88" s="16"/>
      <c r="E88" s="16"/>
      <c r="F88" s="16"/>
      <c r="G88" s="16"/>
      <c r="H88" s="16"/>
      <c r="I88" s="16"/>
      <c r="J88" s="16"/>
      <c r="K88" s="16"/>
    </row>
    <row r="89" spans="2:11" x14ac:dyDescent="0.25">
      <c r="D89" s="16"/>
      <c r="E89" s="16"/>
      <c r="F89" s="16"/>
      <c r="G89" s="16"/>
      <c r="H89" s="16"/>
      <c r="I89" s="16"/>
      <c r="J89" s="16"/>
      <c r="K89" s="16"/>
    </row>
    <row r="90" spans="2:11" x14ac:dyDescent="0.25">
      <c r="D90" s="16"/>
      <c r="E90" s="16"/>
      <c r="F90" s="16"/>
      <c r="G90" s="16"/>
      <c r="H90" s="16"/>
      <c r="I90" s="16"/>
      <c r="J90" s="16"/>
      <c r="K90" s="16"/>
    </row>
    <row r="91" spans="2:11" x14ac:dyDescent="0.25">
      <c r="D91" s="16"/>
      <c r="E91" s="16"/>
      <c r="F91" s="16"/>
      <c r="G91" s="16"/>
      <c r="H91" s="16"/>
      <c r="I91" s="16"/>
      <c r="J91" s="16"/>
      <c r="K91" s="16"/>
    </row>
    <row r="92" spans="2:11" x14ac:dyDescent="0.25">
      <c r="D92" s="16"/>
      <c r="E92" s="16"/>
      <c r="F92" s="16"/>
      <c r="G92" s="16"/>
      <c r="H92" s="16"/>
      <c r="I92" s="16"/>
      <c r="J92" s="16"/>
      <c r="K92" s="16"/>
    </row>
    <row r="93" spans="2:11" x14ac:dyDescent="0.25">
      <c r="D93" s="16"/>
      <c r="E93" s="16"/>
      <c r="F93" s="16"/>
      <c r="G93" s="16"/>
      <c r="H93" s="16"/>
      <c r="I93" s="16"/>
      <c r="J93" s="16"/>
      <c r="K93" s="16"/>
    </row>
    <row r="94" spans="2:11" x14ac:dyDescent="0.25">
      <c r="D94" s="16"/>
      <c r="E94" s="16"/>
      <c r="F94" s="16"/>
      <c r="G94" s="16"/>
      <c r="H94" s="16"/>
      <c r="I94" s="16"/>
      <c r="J94" s="16"/>
      <c r="K94" s="16"/>
    </row>
    <row r="95" spans="2:11" x14ac:dyDescent="0.25">
      <c r="D95" s="16"/>
      <c r="E95" s="16"/>
      <c r="F95" s="16"/>
      <c r="G95" s="16"/>
      <c r="H95" s="16"/>
      <c r="I95" s="16"/>
      <c r="J95" s="16"/>
      <c r="K95" s="16"/>
    </row>
  </sheetData>
  <mergeCells count="120">
    <mergeCell ref="B79:C79"/>
    <mergeCell ref="I79:J79"/>
    <mergeCell ref="F79:G79"/>
    <mergeCell ref="D79:E79"/>
    <mergeCell ref="E41:G41"/>
    <mergeCell ref="B68:C68"/>
    <mergeCell ref="I45:J45"/>
    <mergeCell ref="F45:G45"/>
    <mergeCell ref="F44:G44"/>
    <mergeCell ref="F43:G43"/>
    <mergeCell ref="D45:E45"/>
    <mergeCell ref="D44:E44"/>
    <mergeCell ref="D43:E43"/>
    <mergeCell ref="I43:J43"/>
    <mergeCell ref="I44:J44"/>
    <mergeCell ref="H43:H44"/>
    <mergeCell ref="B63:C63"/>
    <mergeCell ref="B65:C65"/>
    <mergeCell ref="D25:K25"/>
    <mergeCell ref="D26:F26"/>
    <mergeCell ref="H26:K26"/>
    <mergeCell ref="D27:K27"/>
    <mergeCell ref="D28:K28"/>
    <mergeCell ref="D29:F29"/>
    <mergeCell ref="H29:K29"/>
    <mergeCell ref="D30:K30"/>
    <mergeCell ref="D31:K31"/>
    <mergeCell ref="D32:F32"/>
    <mergeCell ref="H32:K32"/>
    <mergeCell ref="D33:K33"/>
    <mergeCell ref="D34:K34"/>
    <mergeCell ref="D35:F35"/>
    <mergeCell ref="B60:C60"/>
    <mergeCell ref="B58:C58"/>
    <mergeCell ref="I53:K53"/>
    <mergeCell ref="B55:C55"/>
    <mergeCell ref="B56:C56"/>
    <mergeCell ref="D22:K22"/>
    <mergeCell ref="D23:F23"/>
    <mergeCell ref="H23:K23"/>
    <mergeCell ref="D24:K24"/>
    <mergeCell ref="H35:K35"/>
    <mergeCell ref="D36:K36"/>
    <mergeCell ref="D37:K37"/>
    <mergeCell ref="D38:F38"/>
    <mergeCell ref="H38:K38"/>
    <mergeCell ref="D39:K39"/>
    <mergeCell ref="E40:G40"/>
    <mergeCell ref="E42:G42"/>
    <mergeCell ref="D18:K18"/>
    <mergeCell ref="I19:K20"/>
    <mergeCell ref="I21:K21"/>
    <mergeCell ref="C43:C45"/>
    <mergeCell ref="M43:M45"/>
    <mergeCell ref="B51:C51"/>
    <mergeCell ref="B50:C50"/>
    <mergeCell ref="M22:M24"/>
    <mergeCell ref="B31:B33"/>
    <mergeCell ref="C31:C33"/>
    <mergeCell ref="M31:M33"/>
    <mergeCell ref="B34:B36"/>
    <mergeCell ref="C34:C36"/>
    <mergeCell ref="M34:M36"/>
    <mergeCell ref="B37:B39"/>
    <mergeCell ref="C37:C39"/>
    <mergeCell ref="M37:M39"/>
    <mergeCell ref="B40:B42"/>
    <mergeCell ref="C40:C42"/>
    <mergeCell ref="M40:M42"/>
    <mergeCell ref="B43:B45"/>
    <mergeCell ref="M25:M27"/>
    <mergeCell ref="M28:M30"/>
    <mergeCell ref="D16:K16"/>
    <mergeCell ref="D15:K15"/>
    <mergeCell ref="D17:K17"/>
    <mergeCell ref="M12:M14"/>
    <mergeCell ref="M15:M16"/>
    <mergeCell ref="M17:M18"/>
    <mergeCell ref="M19:M21"/>
    <mergeCell ref="M2:M3"/>
    <mergeCell ref="M4:M5"/>
    <mergeCell ref="M6:M7"/>
    <mergeCell ref="M8:M9"/>
    <mergeCell ref="M10:M11"/>
    <mergeCell ref="D8:K8"/>
    <mergeCell ref="D9:K9"/>
    <mergeCell ref="D6:K6"/>
    <mergeCell ref="D7:K7"/>
    <mergeCell ref="I48:K48"/>
    <mergeCell ref="B25:B27"/>
    <mergeCell ref="C25:C27"/>
    <mergeCell ref="B28:B30"/>
    <mergeCell ref="C28:C30"/>
    <mergeCell ref="B19:B21"/>
    <mergeCell ref="C19:C21"/>
    <mergeCell ref="B22:B24"/>
    <mergeCell ref="C22:C24"/>
    <mergeCell ref="B15:B16"/>
    <mergeCell ref="C15:C16"/>
    <mergeCell ref="B17:B18"/>
    <mergeCell ref="C17:C18"/>
    <mergeCell ref="B12:B14"/>
    <mergeCell ref="C12:C14"/>
    <mergeCell ref="I14:K14"/>
    <mergeCell ref="I12:K13"/>
    <mergeCell ref="B10:B11"/>
    <mergeCell ref="D10:K10"/>
    <mergeCell ref="D11:K11"/>
    <mergeCell ref="C10:C11"/>
    <mergeCell ref="B8:B9"/>
    <mergeCell ref="C8:C9"/>
    <mergeCell ref="B6:B7"/>
    <mergeCell ref="B4:B5"/>
    <mergeCell ref="C6:C7"/>
    <mergeCell ref="C4:C5"/>
    <mergeCell ref="B2:B3"/>
    <mergeCell ref="D2:K2"/>
    <mergeCell ref="C2:C3"/>
    <mergeCell ref="D4:K4"/>
    <mergeCell ref="D5:K5"/>
  </mergeCells>
  <conditionalFormatting sqref="D5:K5 D7:K7">
    <cfRule type="cellIs" dxfId="2" priority="2" operator="equal">
      <formula>"no data"</formula>
    </cfRule>
  </conditionalFormatting>
  <conditionalFormatting sqref="D9:K9 D11:K11">
    <cfRule type="cellIs" dxfId="1" priority="1" operator="equal">
      <formula>"no data"</formula>
    </cfRule>
  </conditionalFormatting>
  <pageMargins left="0.7" right="0.7" top="0.75" bottom="0.75" header="0.3" footer="0.3"/>
  <ignoredErrors>
    <ignoredError sqref="I14 C11 C9 C7 C5 C13:C14 I21 C18 C16 C20:C21 C23:C24 C26:C27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9" r:id="rId3" name="Check Box 31">
              <controlPr defaultSize="0" autoFill="0" autoLine="0" autoPict="0">
                <anchor moveWithCells="1">
                  <from>
                    <xdr:col>3</xdr:col>
                    <xdr:colOff>381000</xdr:colOff>
                    <xdr:row>40</xdr:row>
                    <xdr:rowOff>9525</xdr:rowOff>
                  </from>
                  <to>
                    <xdr:col>3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4" name="Drop Down 37">
              <controlPr defaultSize="0" autoLine="0" autoPict="0">
                <anchor moveWithCells="1">
                  <from>
                    <xdr:col>5</xdr:col>
                    <xdr:colOff>142875</xdr:colOff>
                    <xdr:row>39</xdr:row>
                    <xdr:rowOff>190500</xdr:rowOff>
                  </from>
                  <to>
                    <xdr:col>5</xdr:col>
                    <xdr:colOff>1123950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5" name="Check Box 38">
              <controlPr defaultSize="0" autoFill="0" autoLine="0" autoPict="0">
                <anchor moveWithCells="1">
                  <from>
                    <xdr:col>7</xdr:col>
                    <xdr:colOff>381000</xdr:colOff>
                    <xdr:row>40</xdr:row>
                    <xdr:rowOff>9525</xdr:rowOff>
                  </from>
                  <to>
                    <xdr:col>7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6" name="Check Box 39">
              <controlPr defaultSize="0" autoFill="0" autoLine="0" autoPict="0">
                <anchor moveWithCells="1">
                  <from>
                    <xdr:col>8</xdr:col>
                    <xdr:colOff>381000</xdr:colOff>
                    <xdr:row>40</xdr:row>
                    <xdr:rowOff>9525</xdr:rowOff>
                  </from>
                  <to>
                    <xdr:col>8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7" name="Drop Down 42">
              <controlPr defaultSize="0" autoLine="0" autoPict="0">
                <anchor moveWithCells="1">
                  <from>
                    <xdr:col>9</xdr:col>
                    <xdr:colOff>142875</xdr:colOff>
                    <xdr:row>40</xdr:row>
                    <xdr:rowOff>0</xdr:rowOff>
                  </from>
                  <to>
                    <xdr:col>9</xdr:col>
                    <xdr:colOff>1123950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8" name="Drop Down 43">
              <controlPr defaultSize="0" autoLine="0" autoPict="0">
                <anchor moveWithCells="1">
                  <from>
                    <xdr:col>10</xdr:col>
                    <xdr:colOff>142875</xdr:colOff>
                    <xdr:row>40</xdr:row>
                    <xdr:rowOff>0</xdr:rowOff>
                  </from>
                  <to>
                    <xdr:col>10</xdr:col>
                    <xdr:colOff>1123950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9" name="Check Box 44">
              <controlPr defaultSize="0" autoFill="0" autoLine="0" autoPict="0">
                <anchor moveWithCells="1">
                  <from>
                    <xdr:col>10</xdr:col>
                    <xdr:colOff>381000</xdr:colOff>
                    <xdr:row>43</xdr:row>
                    <xdr:rowOff>9525</xdr:rowOff>
                  </from>
                  <to>
                    <xdr:col>10</xdr:col>
                    <xdr:colOff>962025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0" name="Drop Down 45">
              <controlPr defaultSize="0" autoLine="0" autoPict="0">
                <anchor moveWithCells="1">
                  <from>
                    <xdr:col>3</xdr:col>
                    <xdr:colOff>809625</xdr:colOff>
                    <xdr:row>43</xdr:row>
                    <xdr:rowOff>0</xdr:rowOff>
                  </from>
                  <to>
                    <xdr:col>4</xdr:col>
                    <xdr:colOff>495300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1" name="Drop Down 46">
              <controlPr defaultSize="0" autoLine="0" autoPict="0">
                <anchor moveWithCells="1">
                  <from>
                    <xdr:col>5</xdr:col>
                    <xdr:colOff>809625</xdr:colOff>
                    <xdr:row>43</xdr:row>
                    <xdr:rowOff>0</xdr:rowOff>
                  </from>
                  <to>
                    <xdr:col>6</xdr:col>
                    <xdr:colOff>495300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12" name="Drop Down 47">
              <controlPr defaultSize="0" autoLine="0" autoPict="0">
                <anchor moveWithCells="1">
                  <from>
                    <xdr:col>8</xdr:col>
                    <xdr:colOff>409575</xdr:colOff>
                    <xdr:row>42</xdr:row>
                    <xdr:rowOff>190500</xdr:rowOff>
                  </from>
                  <to>
                    <xdr:col>9</xdr:col>
                    <xdr:colOff>895350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HDC2010</vt:lpstr>
    </vt:vector>
  </TitlesOfParts>
  <Company>Tesla Motors,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Harvey</dc:creator>
  <cp:lastModifiedBy>Ross Harvey</cp:lastModifiedBy>
  <cp:lastPrinted>2016-09-26T19:17:49Z</cp:lastPrinted>
  <dcterms:created xsi:type="dcterms:W3CDTF">2016-08-17T07:28:11Z</dcterms:created>
  <dcterms:modified xsi:type="dcterms:W3CDTF">2018-03-18T18:39:04Z</dcterms:modified>
</cp:coreProperties>
</file>